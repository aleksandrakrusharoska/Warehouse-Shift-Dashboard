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k.kostal.com/A/APL/APL_Internal/Shared Documents/WHS_APL 3_KOMAK Logistcs Department/KOMAK_Shift Management/KOMAK_WHS Forms/"/>
    </mc:Choice>
  </mc:AlternateContent>
  <xr:revisionPtr revIDLastSave="0" documentId="8_{0B0AEA0C-383F-4BBC-BB0B-77A4B95A6525}" xr6:coauthVersionLast="36" xr6:coauthVersionMax="36" xr10:uidLastSave="{00000000-0000-0000-0000-000000000000}"/>
  <bookViews>
    <workbookView xWindow="0" yWindow="0" windowWidth="23040" windowHeight="9372" xr2:uid="{00000000-000D-0000-FFFF-FFFF00000000}"/>
  </bookViews>
  <sheets>
    <sheet name="WHS Shift Change Report" sheetId="1" r:id="rId1"/>
  </sheets>
  <calcPr calcId="191028" calcCompleted="0"/>
</workbook>
</file>

<file path=xl/calcChain.xml><?xml version="1.0" encoding="utf-8"?>
<calcChain xmlns="http://schemas.openxmlformats.org/spreadsheetml/2006/main">
  <c r="E12" i="1" l="1"/>
  <c r="K11" i="1"/>
  <c r="I12" i="1"/>
  <c r="D47" i="1"/>
  <c r="F47" i="1"/>
  <c r="F60" i="1"/>
  <c r="F59" i="1"/>
  <c r="F58" i="1"/>
  <c r="F57" i="1"/>
  <c r="F56" i="1"/>
  <c r="F55" i="1"/>
  <c r="F54" i="1"/>
  <c r="F53" i="1"/>
  <c r="F52" i="1"/>
  <c r="K68" i="1"/>
  <c r="K69" i="1"/>
  <c r="K70" i="1"/>
  <c r="K71" i="1"/>
  <c r="K72" i="1"/>
  <c r="D73" i="1"/>
  <c r="E73" i="1"/>
  <c r="F73" i="1"/>
  <c r="G73" i="1"/>
  <c r="H73" i="1"/>
  <c r="I73" i="1"/>
  <c r="J73" i="1"/>
  <c r="K74" i="1"/>
  <c r="K73" i="1"/>
  <c r="D5" i="1"/>
  <c r="E5" i="1"/>
  <c r="J91" i="1"/>
  <c r="I91" i="1"/>
  <c r="H91" i="1"/>
  <c r="G91" i="1"/>
  <c r="F91" i="1"/>
  <c r="E91" i="1"/>
  <c r="D91" i="1"/>
  <c r="E87" i="1"/>
  <c r="J87" i="1"/>
  <c r="I87" i="1"/>
  <c r="H87" i="1"/>
  <c r="F87" i="1"/>
  <c r="G87" i="1"/>
  <c r="D87" i="1"/>
  <c r="H6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Grozdanovski, Zoran</author>
  </authors>
  <commentList>
    <comment ref="K10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(% of absent allows coverage or not covers demand) </t>
        </r>
      </text>
    </comment>
  </commentList>
</comments>
</file>

<file path=xl/sharedStrings.xml><?xml version="1.0" encoding="utf-8"?>
<sst xmlns="http://schemas.openxmlformats.org/spreadsheetml/2006/main" count="154" uniqueCount="120">
  <si>
    <t>WAREHOUSE SHIFT HANDOVER</t>
  </si>
  <si>
    <t>Teams</t>
  </si>
  <si>
    <t>Shift</t>
  </si>
  <si>
    <t>Area</t>
  </si>
  <si>
    <t>A</t>
  </si>
  <si>
    <t>FS</t>
  </si>
  <si>
    <t>Warehouse</t>
  </si>
  <si>
    <t>B</t>
  </si>
  <si>
    <t>SS</t>
  </si>
  <si>
    <t>Date:</t>
  </si>
  <si>
    <t>CW:</t>
  </si>
  <si>
    <t>Team:</t>
  </si>
  <si>
    <t>C</t>
  </si>
  <si>
    <t>NS</t>
  </si>
  <si>
    <t>Area:</t>
  </si>
  <si>
    <t>Shift:</t>
  </si>
  <si>
    <t>GOOD</t>
  </si>
  <si>
    <t>BAD</t>
  </si>
  <si>
    <t xml:space="preserve"> </t>
  </si>
  <si>
    <t>Work Load Coverage Status</t>
  </si>
  <si>
    <t>OK</t>
  </si>
  <si>
    <t>Attendance</t>
  </si>
  <si>
    <t>Total</t>
  </si>
  <si>
    <t>Absent</t>
  </si>
  <si>
    <t>Present</t>
  </si>
  <si>
    <t>Planned</t>
  </si>
  <si>
    <t>Actual absenteeism
 %</t>
  </si>
  <si>
    <t>NOK</t>
  </si>
  <si>
    <t>Explanation:</t>
  </si>
  <si>
    <t>Planned:                                                                                                                      Unplanned:
1.                                                                                                                                   1.
2.                                                                                                                                   2.
3.                                                                                                                                   3.</t>
  </si>
  <si>
    <t>Unplanned:</t>
  </si>
  <si>
    <r>
      <t xml:space="preserve">Distribution  
</t>
    </r>
    <r>
      <rPr>
        <b/>
        <sz val="9"/>
        <color theme="1"/>
        <rFont val="Calibri"/>
        <family val="2"/>
        <scheme val="minor"/>
      </rPr>
      <t xml:space="preserve">Full Workload coverage 
</t>
    </r>
    <r>
      <rPr>
        <i/>
        <sz val="9"/>
        <color theme="1"/>
        <rFont val="Calibri"/>
        <family val="2"/>
        <scheme val="minor"/>
      </rPr>
      <t xml:space="preserve"> - all prod. lines working -</t>
    </r>
  </si>
  <si>
    <t>Actual Distribution</t>
  </si>
  <si>
    <r>
      <t xml:space="preserve">Employees </t>
    </r>
    <r>
      <rPr>
        <sz val="11"/>
        <color theme="1"/>
        <rFont val="Calibri"/>
        <family val="2"/>
        <scheme val="minor"/>
      </rPr>
      <t>or Non Working Lines / Areas in actual shift</t>
    </r>
  </si>
  <si>
    <t>Target Achieved</t>
  </si>
  <si>
    <r>
      <t xml:space="preserve">Main WHS </t>
    </r>
    <r>
      <rPr>
        <sz val="11"/>
        <color theme="1"/>
        <rFont val="Calibri"/>
        <family val="2"/>
        <scheme val="minor"/>
      </rPr>
      <t xml:space="preserve">- Picking </t>
    </r>
  </si>
  <si>
    <r>
      <t xml:space="preserve">IM  </t>
    </r>
    <r>
      <rPr>
        <i/>
        <sz val="10"/>
        <color theme="1"/>
        <rFont val="Calibri"/>
        <family val="2"/>
        <scheme val="minor"/>
      </rPr>
      <t>(RM Picking &amp; delivery, FG Pick-up)</t>
    </r>
  </si>
  <si>
    <r>
      <t xml:space="preserve">EP 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i/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 xml:space="preserve"> (RM Picking &amp; putaway)</t>
    </r>
  </si>
  <si>
    <r>
      <t xml:space="preserve">Assembly </t>
    </r>
    <r>
      <rPr>
        <i/>
        <sz val="10"/>
        <color theme="1"/>
        <rFont val="Calibri"/>
        <family val="2"/>
        <scheme val="minor"/>
      </rPr>
      <t xml:space="preserve"> (RM Picking &amp; FG Putaway)</t>
    </r>
  </si>
  <si>
    <r>
      <t>OBC</t>
    </r>
    <r>
      <rPr>
        <i/>
        <sz val="10"/>
        <color theme="1"/>
        <rFont val="Calibri"/>
        <family val="2"/>
        <scheme val="minor"/>
      </rPr>
      <t xml:space="preserve"> (RM Picking &amp; delivery to re-pack)</t>
    </r>
  </si>
  <si>
    <t>Saturday</t>
  </si>
  <si>
    <t>Sunday</t>
  </si>
  <si>
    <r>
      <t xml:space="preserve">Main WHS </t>
    </r>
    <r>
      <rPr>
        <sz val="11"/>
        <color theme="1"/>
        <rFont val="Calibri"/>
        <family val="2"/>
        <scheme val="minor"/>
      </rPr>
      <t>- Production Material Transport</t>
    </r>
  </si>
  <si>
    <r>
      <t xml:space="preserve">IM      </t>
    </r>
    <r>
      <rPr>
        <i/>
        <sz val="10"/>
        <color theme="1"/>
        <rFont val="Calibri"/>
        <family val="2"/>
        <scheme val="minor"/>
      </rPr>
      <t>(FG Pick-up &amp; FG Packaging)</t>
    </r>
  </si>
  <si>
    <r>
      <t>EP</t>
    </r>
    <r>
      <rPr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(RM Delivery, FG Packaging &amp; pick-up)</t>
    </r>
  </si>
  <si>
    <r>
      <t>Assembly</t>
    </r>
    <r>
      <rPr>
        <i/>
        <sz val="10"/>
        <color theme="1"/>
        <rFont val="Calibri"/>
        <family val="2"/>
        <scheme val="minor"/>
      </rPr>
      <t xml:space="preserve">    (RM Delivery &amp; empties)</t>
    </r>
  </si>
  <si>
    <r>
      <t>Assembly</t>
    </r>
    <r>
      <rPr>
        <i/>
        <sz val="10"/>
        <color theme="1"/>
        <rFont val="Calibri"/>
        <family val="2"/>
        <scheme val="minor"/>
      </rPr>
      <t xml:space="preserve">      (FG Packaging &amp; pick-up)</t>
    </r>
  </si>
  <si>
    <r>
      <t>OBC</t>
    </r>
    <r>
      <rPr>
        <i/>
        <sz val="10"/>
        <color theme="1"/>
        <rFont val="Calibri"/>
        <family val="2"/>
        <scheme val="minor"/>
      </rPr>
      <t xml:space="preserve">  (FG Packaging &amp; FG Putaway)</t>
    </r>
  </si>
  <si>
    <t>Incom. / Outg. WHS</t>
  </si>
  <si>
    <t>Receiving</t>
  </si>
  <si>
    <t>Receiving: Pallets</t>
  </si>
  <si>
    <t>Receiving: Deliveries</t>
  </si>
  <si>
    <t>Shipping</t>
  </si>
  <si>
    <t>Shipping: Pallets</t>
  </si>
  <si>
    <t>Delivery Notes</t>
  </si>
  <si>
    <t xml:space="preserve">Hall 21 </t>
  </si>
  <si>
    <r>
      <t>Repack/Kitting</t>
    </r>
    <r>
      <rPr>
        <i/>
        <sz val="9"/>
        <color theme="1"/>
        <rFont val="Calibri"/>
        <family val="2"/>
        <scheme val="minor"/>
      </rPr>
      <t xml:space="preserve">      </t>
    </r>
    <r>
      <rPr>
        <i/>
        <sz val="8"/>
        <color theme="1"/>
        <rFont val="Calibri"/>
        <family val="2"/>
        <scheme val="minor"/>
      </rPr>
      <t>( RM Delivery to OBC, 
RM Empties from OBC to Repack)</t>
    </r>
  </si>
  <si>
    <t>Traymaster</t>
  </si>
  <si>
    <t xml:space="preserve">Sorting </t>
  </si>
  <si>
    <r>
      <rPr>
        <b/>
        <i/>
        <sz val="9"/>
        <color theme="1"/>
        <rFont val="Calibri"/>
        <family val="2"/>
        <scheme val="minor"/>
      </rPr>
      <t xml:space="preserve">Other not-planned support actions      </t>
    </r>
    <r>
      <rPr>
        <i/>
        <sz val="9"/>
        <color theme="1"/>
        <rFont val="Calibri"/>
        <family val="2"/>
        <scheme val="minor"/>
      </rPr>
      <t xml:space="preserve"> 
</t>
    </r>
    <r>
      <rPr>
        <i/>
        <sz val="8"/>
        <color theme="1"/>
        <rFont val="Calibri"/>
        <family val="2"/>
        <scheme val="minor"/>
      </rPr>
      <t>(Delivery for sorting, inventory, supporting other actions)</t>
    </r>
  </si>
  <si>
    <t xml:space="preserve">Absenteeism planned &amp; possible back-up </t>
  </si>
  <si>
    <t>Total per Shift</t>
  </si>
  <si>
    <t xml:space="preserve">Actual Distribution </t>
  </si>
  <si>
    <t>Equipment:</t>
  </si>
  <si>
    <t xml:space="preserve">Quantity / Damaged or not </t>
  </si>
  <si>
    <t>Number of scanners</t>
  </si>
  <si>
    <t>Explain:</t>
  </si>
  <si>
    <t>Scanner sign IN/OUT list</t>
  </si>
  <si>
    <t>Trolleys (Mezzanine, SMT)</t>
  </si>
  <si>
    <t>Computers</t>
  </si>
  <si>
    <t>Printers</t>
  </si>
  <si>
    <t>Hand Pallet Jacks</t>
  </si>
  <si>
    <t>Stackers</t>
  </si>
  <si>
    <t>Forklifts</t>
  </si>
  <si>
    <t>ETV Forklift</t>
  </si>
  <si>
    <t>Housekeeping</t>
  </si>
  <si>
    <t>Status:</t>
  </si>
  <si>
    <t>5S Rules</t>
  </si>
  <si>
    <t>Receiving/Shipping</t>
  </si>
  <si>
    <t>Picking</t>
  </si>
  <si>
    <t>Delivery</t>
  </si>
  <si>
    <t>Mezzanine</t>
  </si>
  <si>
    <t>Sorting</t>
  </si>
  <si>
    <t>Parking</t>
  </si>
  <si>
    <t>WHS 21</t>
  </si>
  <si>
    <t>Sort</t>
  </si>
  <si>
    <t>Set</t>
  </si>
  <si>
    <t>Shine</t>
  </si>
  <si>
    <t>Standardize</t>
  </si>
  <si>
    <t>Sustain</t>
  </si>
  <si>
    <t>Achievement</t>
  </si>
  <si>
    <t>Reference</t>
  </si>
  <si>
    <t>Efficiency:</t>
  </si>
  <si>
    <t>Stock in Receiving not older than 12 hours</t>
  </si>
  <si>
    <t>Kitting Process Reels per operator</t>
  </si>
  <si>
    <t>P-Point (no longer than 1 hour)</t>
  </si>
  <si>
    <t>ID Point (no longer than 1 hour)</t>
  </si>
  <si>
    <t>Idents in Clearing</t>
  </si>
  <si>
    <t>Idents in TE03</t>
  </si>
  <si>
    <t>Idents in P000 no longer than 30 min</t>
  </si>
  <si>
    <t>Remarks:</t>
  </si>
  <si>
    <t>Achieved</t>
  </si>
  <si>
    <t>Reference Target</t>
  </si>
  <si>
    <t>12 hours</t>
  </si>
  <si>
    <t>500=1 operator</t>
  </si>
  <si>
    <t>1 hour</t>
  </si>
  <si>
    <t>Efficiency in %</t>
  </si>
  <si>
    <t>Shipping to Customer</t>
  </si>
  <si>
    <t>Downtime Injection Molding</t>
  </si>
  <si>
    <t>Downtime Electronics</t>
  </si>
  <si>
    <t>Downtime Assembly</t>
  </si>
  <si>
    <t>Downtime OBC</t>
  </si>
  <si>
    <t>Downtime Packaging materials</t>
  </si>
  <si>
    <t>Packaging materials per shift pallets</t>
  </si>
  <si>
    <t>Shipping pallets per operator</t>
  </si>
  <si>
    <t>0 min</t>
  </si>
  <si>
    <t>25 pallets</t>
  </si>
  <si>
    <t>Downtime and problems :</t>
  </si>
  <si>
    <t>Note: Please input only Downtime and problems in shift</t>
  </si>
  <si>
    <t>Do not input daily incoming and shipping achievements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</si>
</sst>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"/>
    <numFmt numFmtId="165" formatCode="dd/mm/yyyy;@"/>
  </numFmts>
  <fonts count="2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5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</cellStyleXfs>
  <cellXfs count="202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9" xfId="0" applyFont="1" applyBorder="1" applyProtection="1"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165" fontId="5" fillId="0" borderId="2" xfId="0" applyNumberFormat="1" applyFont="1" applyBorder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5" fillId="3" borderId="0" xfId="0" applyFont="1" applyFill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3" borderId="0" xfId="0" applyFont="1" applyFill="1" applyProtection="1">
      <protection locked="0"/>
    </xf>
    <xf numFmtId="0" fontId="3" fillId="0" borderId="11" xfId="0" applyFont="1" applyBorder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0" fontId="6" fillId="0" borderId="0" xfId="0" applyNumberFormat="1" applyFont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4" fillId="0" borderId="0" xfId="0" applyFont="1" applyProtection="1"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9" xfId="0" applyBorder="1" applyAlignment="1" applyProtection="1">
      <alignment vertical="center"/>
      <protection locked="0"/>
    </xf>
    <xf numFmtId="0" fontId="0" fillId="0" borderId="0" xfId="0" applyAlignment="1" applyProtection="1">
      <alignment horizontal="left" vertical="top"/>
      <protection locked="0"/>
    </xf>
    <xf numFmtId="9" fontId="12" fillId="0" borderId="0" xfId="0" applyNumberFormat="1" applyFont="1"/>
    <xf numFmtId="9" fontId="12" fillId="0" borderId="0" xfId="0" applyNumberFormat="1" applyFont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6" borderId="0" xfId="0" applyFill="1" applyProtection="1"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0" fontId="12" fillId="0" borderId="0" xfId="0" applyFont="1"/>
    <xf numFmtId="0" fontId="3" fillId="3" borderId="24" xfId="0" applyFont="1" applyFill="1" applyBorder="1" applyAlignment="1" applyProtection="1">
      <alignment horizontal="center" vertical="center"/>
      <protection locked="0"/>
    </xf>
    <xf numFmtId="0" fontId="13" fillId="3" borderId="25" xfId="0" applyFont="1" applyFill="1" applyBorder="1" applyAlignment="1" applyProtection="1">
      <alignment horizontal="center" vertical="center" wrapText="1"/>
      <protection locked="0"/>
    </xf>
    <xf numFmtId="0" fontId="13" fillId="3" borderId="25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 applyProtection="1">
      <alignment horizontal="center" vertical="center" wrapText="1"/>
      <protection locked="0"/>
    </xf>
    <xf numFmtId="0" fontId="0" fillId="2" borderId="27" xfId="0" applyFill="1" applyBorder="1" applyAlignment="1" applyProtection="1">
      <alignment vertic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4" borderId="27" xfId="0" applyFill="1" applyBorder="1" applyAlignment="1" applyProtection="1">
      <alignment vertical="center"/>
      <protection locked="0"/>
    </xf>
    <xf numFmtId="0" fontId="0" fillId="0" borderId="28" xfId="0" applyBorder="1" applyAlignment="1">
      <alignment horizontal="center"/>
    </xf>
    <xf numFmtId="0" fontId="8" fillId="3" borderId="29" xfId="0" applyFont="1" applyFill="1" applyBorder="1" applyAlignment="1" applyProtection="1">
      <alignment horizontal="center" vertical="center" wrapText="1"/>
      <protection locked="0"/>
    </xf>
    <xf numFmtId="9" fontId="0" fillId="0" borderId="30" xfId="1" applyFont="1" applyBorder="1"/>
    <xf numFmtId="9" fontId="0" fillId="5" borderId="30" xfId="1" applyFont="1" applyFill="1" applyBorder="1"/>
    <xf numFmtId="9" fontId="0" fillId="0" borderId="31" xfId="1" applyFont="1" applyBorder="1"/>
    <xf numFmtId="0" fontId="14" fillId="0" borderId="23" xfId="0" applyFont="1" applyBorder="1" applyAlignment="1">
      <alignment horizontal="center"/>
    </xf>
    <xf numFmtId="0" fontId="0" fillId="0" borderId="23" xfId="0" applyBorder="1" applyAlignment="1">
      <alignment vertical="top"/>
    </xf>
    <xf numFmtId="0" fontId="0" fillId="0" borderId="6" xfId="0" applyBorder="1" applyProtection="1">
      <protection hidden="1"/>
    </xf>
    <xf numFmtId="0" fontId="0" fillId="0" borderId="0" xfId="0" applyProtection="1">
      <protection hidden="1"/>
    </xf>
    <xf numFmtId="0" fontId="0" fillId="0" borderId="9" xfId="0" applyBorder="1" applyProtection="1">
      <protection hidden="1"/>
    </xf>
    <xf numFmtId="0" fontId="3" fillId="3" borderId="0" xfId="0" applyFon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9" fontId="0" fillId="0" borderId="1" xfId="0" applyNumberFormat="1" applyBorder="1" applyAlignment="1" applyProtection="1">
      <alignment horizontal="center"/>
      <protection hidden="1"/>
    </xf>
    <xf numFmtId="0" fontId="0" fillId="0" borderId="11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12" xfId="0" applyBorder="1" applyAlignment="1" applyProtection="1">
      <alignment vertical="center"/>
      <protection hidden="1"/>
    </xf>
    <xf numFmtId="0" fontId="0" fillId="10" borderId="1" xfId="0" applyFill="1" applyBorder="1" applyAlignment="1" applyProtection="1">
      <alignment horizontal="center"/>
      <protection hidden="1"/>
    </xf>
    <xf numFmtId="0" fontId="0" fillId="6" borderId="1" xfId="0" applyFill="1" applyBorder="1" applyAlignment="1" applyProtection="1">
      <alignment horizontal="center"/>
      <protection hidden="1"/>
    </xf>
    <xf numFmtId="0" fontId="0" fillId="5" borderId="1" xfId="0" applyFill="1" applyBorder="1" applyAlignment="1" applyProtection="1">
      <alignment horizontal="center"/>
      <protection hidden="1"/>
    </xf>
    <xf numFmtId="0" fontId="0" fillId="7" borderId="1" xfId="0" applyFill="1" applyBorder="1" applyAlignment="1" applyProtection="1">
      <alignment horizontal="center"/>
      <protection hidden="1"/>
    </xf>
    <xf numFmtId="0" fontId="0" fillId="11" borderId="1" xfId="0" applyFill="1" applyBorder="1" applyAlignment="1" applyProtection="1">
      <alignment horizontal="center"/>
      <protection hidden="1"/>
    </xf>
    <xf numFmtId="0" fontId="4" fillId="0" borderId="16" xfId="0" applyFont="1" applyBorder="1" applyProtection="1">
      <protection hidden="1"/>
    </xf>
    <xf numFmtId="0" fontId="14" fillId="0" borderId="1" xfId="2" applyFont="1" applyFill="1" applyBorder="1" applyAlignment="1" applyProtection="1">
      <alignment horizontal="left"/>
      <protection hidden="1"/>
    </xf>
    <xf numFmtId="0" fontId="14" fillId="0" borderId="1" xfId="3" applyFont="1" applyFill="1" applyBorder="1" applyAlignment="1" applyProtection="1">
      <alignment horizontal="left"/>
      <protection hidden="1"/>
    </xf>
    <xf numFmtId="1" fontId="6" fillId="0" borderId="0" xfId="0" applyNumberFormat="1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/>
      <protection hidden="1"/>
    </xf>
    <xf numFmtId="0" fontId="16" fillId="0" borderId="1" xfId="0" applyFont="1" applyBorder="1" applyAlignment="1" applyProtection="1">
      <alignment horizontal="center"/>
      <protection hidden="1"/>
    </xf>
    <xf numFmtId="0" fontId="16" fillId="0" borderId="1" xfId="0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3" fillId="0" borderId="0" xfId="0" applyFont="1" applyAlignment="1" applyProtection="1">
      <alignment horizontal="right" vertical="top" wrapText="1"/>
      <protection locked="0"/>
    </xf>
    <xf numFmtId="0" fontId="3" fillId="0" borderId="1" xfId="0" applyFont="1" applyBorder="1" applyAlignment="1" applyProtection="1">
      <alignment horizontal="center" vertical="top" wrapText="1"/>
      <protection locked="0"/>
    </xf>
    <xf numFmtId="0" fontId="10" fillId="0" borderId="0" xfId="0" applyFont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10" fillId="3" borderId="1" xfId="0" applyFont="1" applyFill="1" applyBorder="1" applyAlignment="1">
      <alignment horizontal="center" vertical="center"/>
    </xf>
    <xf numFmtId="0" fontId="10" fillId="0" borderId="37" xfId="0" applyFont="1" applyBorder="1" applyAlignment="1" applyProtection="1">
      <alignment horizontal="right" vertical="top" wrapText="1"/>
      <protection locked="0"/>
    </xf>
    <xf numFmtId="0" fontId="10" fillId="0" borderId="38" xfId="0" applyFont="1" applyBorder="1" applyAlignment="1" applyProtection="1">
      <alignment horizontal="right" vertical="top" wrapText="1"/>
      <protection locked="0"/>
    </xf>
    <xf numFmtId="0" fontId="10" fillId="0" borderId="39" xfId="0" applyFont="1" applyBorder="1" applyAlignment="1" applyProtection="1">
      <alignment horizontal="right" vertical="top" wrapText="1"/>
      <protection locked="0"/>
    </xf>
    <xf numFmtId="0" fontId="0" fillId="0" borderId="3" xfId="0" applyBorder="1" applyAlignment="1" applyProtection="1">
      <alignment horizontal="center" vertical="top" wrapText="1"/>
      <protection locked="0"/>
    </xf>
    <xf numFmtId="0" fontId="24" fillId="0" borderId="1" xfId="0" applyFont="1" applyBorder="1" applyAlignment="1" applyProtection="1">
      <alignment horizontal="right" vertical="top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center" wrapText="1"/>
      <protection locked="0"/>
    </xf>
    <xf numFmtId="0" fontId="0" fillId="3" borderId="17" xfId="0" applyFill="1" applyBorder="1" applyAlignment="1" applyProtection="1">
      <alignment vertical="top" wrapText="1"/>
      <protection locked="0"/>
    </xf>
    <xf numFmtId="0" fontId="0" fillId="3" borderId="16" xfId="0" applyFill="1" applyBorder="1" applyAlignment="1" applyProtection="1">
      <alignment vertical="top" wrapText="1"/>
      <protection locked="0"/>
    </xf>
    <xf numFmtId="9" fontId="0" fillId="0" borderId="1" xfId="1" applyFont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9" fontId="0" fillId="0" borderId="0" xfId="0" applyNumberFormat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locked="0"/>
    </xf>
    <xf numFmtId="0" fontId="14" fillId="0" borderId="10" xfId="0" applyFont="1" applyBorder="1" applyAlignment="1">
      <alignment horizontal="center" vertical="center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0" fillId="3" borderId="28" xfId="0" applyFont="1" applyFill="1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center" vertical="top" wrapText="1"/>
      <protection locked="0"/>
    </xf>
    <xf numFmtId="0" fontId="0" fillId="0" borderId="38" xfId="0" applyBorder="1" applyAlignment="1" applyProtection="1">
      <alignment horizontal="center" vertical="top" wrapText="1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top" wrapText="1"/>
      <protection locked="0"/>
    </xf>
    <xf numFmtId="0" fontId="0" fillId="0" borderId="19" xfId="0" applyBorder="1" applyAlignment="1" applyProtection="1">
      <alignment horizontal="center" vertical="top" wrapText="1"/>
      <protection locked="0"/>
    </xf>
    <xf numFmtId="0" fontId="0" fillId="0" borderId="15" xfId="0" applyBorder="1" applyAlignment="1" applyProtection="1">
      <alignment horizontal="center" vertical="top" wrapText="1"/>
      <protection locked="0"/>
    </xf>
    <xf numFmtId="0" fontId="0" fillId="12" borderId="23" xfId="0" applyFill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17" xfId="0" applyBorder="1" applyAlignment="1" applyProtection="1">
      <alignment horizontal="center" vertical="top" wrapText="1"/>
      <protection locked="0"/>
    </xf>
    <xf numFmtId="0" fontId="0" fillId="0" borderId="20" xfId="0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0" fillId="0" borderId="2" xfId="0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14" xfId="0" applyBorder="1" applyAlignment="1" applyProtection="1">
      <alignment horizontal="left"/>
      <protection locked="0"/>
    </xf>
    <xf numFmtId="0" fontId="0" fillId="0" borderId="20" xfId="0" applyBorder="1" applyAlignment="1" applyProtection="1">
      <alignment horizontal="center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36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hidden="1"/>
    </xf>
    <xf numFmtId="0" fontId="10" fillId="3" borderId="20" xfId="0" applyFont="1" applyFill="1" applyBorder="1" applyAlignment="1" applyProtection="1">
      <alignment horizontal="center" vertical="center"/>
      <protection locked="0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1" xfId="0" applyBorder="1" applyAlignment="1" applyProtection="1">
      <alignment horizontal="left" vertical="top" wrapText="1"/>
      <protection hidden="1"/>
    </xf>
    <xf numFmtId="0" fontId="0" fillId="0" borderId="20" xfId="0" applyBorder="1" applyAlignment="1" applyProtection="1">
      <alignment horizontal="left" vertical="top" wrapText="1"/>
      <protection locked="0"/>
    </xf>
    <xf numFmtId="0" fontId="0" fillId="0" borderId="21" xfId="0" applyBorder="1" applyAlignment="1" applyProtection="1">
      <alignment horizontal="left" vertical="top" wrapText="1"/>
      <protection locked="0"/>
    </xf>
    <xf numFmtId="0" fontId="0" fillId="0" borderId="1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19" xfId="0" applyBorder="1" applyAlignment="1" applyProtection="1">
      <alignment horizontal="left" vertical="top" wrapText="1"/>
      <protection locked="0"/>
    </xf>
    <xf numFmtId="0" fontId="9" fillId="7" borderId="4" xfId="0" applyFont="1" applyFill="1" applyBorder="1" applyAlignment="1" applyProtection="1">
      <alignment horizontal="center"/>
      <protection locked="0"/>
    </xf>
    <xf numFmtId="0" fontId="9" fillId="7" borderId="5" xfId="0" applyFont="1" applyFill="1" applyBorder="1" applyAlignment="1" applyProtection="1">
      <alignment horizontal="center"/>
      <protection locked="0"/>
    </xf>
    <xf numFmtId="0" fontId="9" fillId="7" borderId="22" xfId="0" applyFont="1" applyFill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left" vertical="top" wrapText="1"/>
      <protection locked="0"/>
    </xf>
    <xf numFmtId="0" fontId="1" fillId="0" borderId="17" xfId="0" applyFont="1" applyBorder="1" applyAlignment="1" applyProtection="1">
      <alignment horizontal="left" vertical="top" wrapText="1"/>
      <protection locked="0"/>
    </xf>
    <xf numFmtId="0" fontId="1" fillId="12" borderId="23" xfId="0" applyFont="1" applyFill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14" xfId="0" applyFont="1" applyBorder="1" applyAlignment="1" applyProtection="1">
      <alignment horizontal="left" vertical="top" wrapText="1"/>
      <protection locked="0"/>
    </xf>
    <xf numFmtId="0" fontId="1" fillId="0" borderId="19" xfId="0" applyFont="1" applyBorder="1" applyAlignment="1" applyProtection="1">
      <alignment horizontal="left" vertical="top" wrapText="1"/>
      <protection locked="0"/>
    </xf>
    <xf numFmtId="0" fontId="1" fillId="0" borderId="20" xfId="0" applyFont="1" applyBorder="1" applyAlignment="1" applyProtection="1">
      <alignment horizontal="left" vertical="top" wrapText="1"/>
      <protection locked="0"/>
    </xf>
    <xf numFmtId="0" fontId="1" fillId="0" borderId="21" xfId="0" applyFont="1" applyBorder="1" applyAlignment="1" applyProtection="1">
      <alignment horizontal="left" vertical="top" wrapText="1"/>
      <protection locked="0"/>
    </xf>
  </cellXfs>
  <cellStyles count="4">
    <cellStyle name="Accent2" xfId="2" builtinId="33"/>
    <cellStyle name="Accent6" xfId="3" builtinId="49"/>
    <cellStyle name="Normal" xfId="0" builtinId="0"/>
    <cellStyle name="Percent" xfId="1" builtinId="5"/>
  </cellStyles>
  <dxfs count="18"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00B050"/>
          <bgColor rgb="FF00CC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104"/>
  <sheetViews>
    <sheetView tabSelected="1" topLeftCell="A16" zoomScale="80" zoomScaleNormal="80" workbookViewId="0" xr3:uid="{AEA406A1-0E4B-5B11-9CD5-51D6E497D94C}">
      <selection activeCell="P26" sqref="P26:P28"/>
    </sheetView>
  </sheetViews>
  <sheetFormatPr defaultColWidth="9.140625" defaultRowHeight="14.45"/>
  <cols>
    <col min="1" max="1" width="1.140625" style="1" customWidth="1"/>
    <col min="2" max="2" width="2.7109375" style="1" customWidth="1"/>
    <col min="3" max="3" width="42.140625" style="1" customWidth="1"/>
    <col min="4" max="4" width="23.85546875" style="1" customWidth="1"/>
    <col min="5" max="5" width="10.42578125" style="19" customWidth="1"/>
    <col min="6" max="6" width="14.28515625" style="1" customWidth="1"/>
    <col min="7" max="7" width="8.85546875" style="1" customWidth="1"/>
    <col min="8" max="8" width="10.42578125" style="1" bestFit="1" customWidth="1"/>
    <col min="9" max="9" width="17.7109375" style="1" customWidth="1"/>
    <col min="10" max="10" width="9.140625" style="1" customWidth="1"/>
    <col min="11" max="11" width="24.28515625" style="1" bestFit="1" customWidth="1"/>
    <col min="12" max="12" width="24.28515625" style="5" customWidth="1"/>
    <col min="13" max="13" width="24.7109375" style="5" customWidth="1"/>
    <col min="14" max="16" width="9.140625" style="1"/>
    <col min="17" max="17" width="6.42578125" style="1" hidden="1" customWidth="1"/>
    <col min="18" max="18" width="4.7109375" style="1" hidden="1" customWidth="1"/>
    <col min="19" max="19" width="14.28515625" style="1" hidden="1" customWidth="1"/>
    <col min="20" max="16384" width="9.140625" style="1"/>
  </cols>
  <sheetData>
    <row r="1" spans="2:20" ht="9" customHeight="1" thickBot="1"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</row>
    <row r="2" spans="2:20" ht="20.45" thickBot="1">
      <c r="B2" s="179" t="s">
        <v>0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  <c r="Q2" s="2" t="s">
        <v>1</v>
      </c>
      <c r="R2" s="3" t="s">
        <v>2</v>
      </c>
      <c r="S2" s="2" t="s">
        <v>3</v>
      </c>
    </row>
    <row r="3" spans="2:20" ht="9.75" customHeight="1" thickBot="1"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4"/>
      <c r="Q3" s="2" t="s">
        <v>4</v>
      </c>
      <c r="R3" s="3" t="s">
        <v>5</v>
      </c>
      <c r="S3" s="2" t="s">
        <v>6</v>
      </c>
    </row>
    <row r="4" spans="2:20" ht="9.75" customHeight="1">
      <c r="B4" s="6"/>
      <c r="C4" s="166"/>
      <c r="D4" s="166"/>
      <c r="E4" s="166"/>
      <c r="F4" s="166"/>
      <c r="G4" s="166"/>
      <c r="H4" s="166"/>
      <c r="I4" s="166"/>
      <c r="J4" s="166"/>
      <c r="K4" s="166"/>
      <c r="L4" s="113"/>
      <c r="M4" s="124"/>
      <c r="Q4" s="2" t="s">
        <v>7</v>
      </c>
      <c r="R4" s="3" t="s">
        <v>8</v>
      </c>
    </row>
    <row r="5" spans="2:20">
      <c r="B5" s="8"/>
      <c r="C5" s="9" t="s">
        <v>9</v>
      </c>
      <c r="D5" s="10">
        <f ca="1">TODAY()</f>
        <v>46301</v>
      </c>
      <c r="E5" s="104">
        <f ca="1">WEEKDAY(D5)</f>
        <v>3</v>
      </c>
      <c r="F5" s="11"/>
      <c r="G5" s="12" t="s">
        <v>10</v>
      </c>
      <c r="H5" s="13">
        <v>24</v>
      </c>
      <c r="I5" s="11"/>
      <c r="J5" s="12" t="s">
        <v>11</v>
      </c>
      <c r="K5" s="13" t="s">
        <v>7</v>
      </c>
      <c r="L5" s="114"/>
      <c r="M5" s="125"/>
      <c r="Q5" s="2" t="s">
        <v>12</v>
      </c>
      <c r="R5" s="3" t="s">
        <v>13</v>
      </c>
    </row>
    <row r="6" spans="2:20" ht="9.75" customHeight="1">
      <c r="B6" s="8"/>
      <c r="C6" s="7"/>
      <c r="D6" s="11"/>
      <c r="E6" s="14"/>
      <c r="F6" s="11"/>
      <c r="G6" s="11"/>
      <c r="H6" s="11"/>
      <c r="I6" s="11"/>
      <c r="J6" s="11"/>
      <c r="K6" s="15"/>
      <c r="L6" s="114"/>
      <c r="M6" s="125"/>
    </row>
    <row r="7" spans="2:20">
      <c r="B7" s="8"/>
      <c r="C7" s="9" t="s">
        <v>14</v>
      </c>
      <c r="D7" s="182" t="s">
        <v>6</v>
      </c>
      <c r="E7" s="183"/>
      <c r="F7" s="11"/>
      <c r="G7" s="11"/>
      <c r="H7" s="11"/>
      <c r="I7" s="11"/>
      <c r="J7" s="16" t="s">
        <v>15</v>
      </c>
      <c r="K7" s="13" t="s">
        <v>5</v>
      </c>
      <c r="L7" s="114"/>
      <c r="M7" s="125"/>
      <c r="Q7" s="18" t="s">
        <v>16</v>
      </c>
    </row>
    <row r="8" spans="2:20" ht="9" customHeight="1" thickBot="1">
      <c r="B8" s="17"/>
      <c r="C8" s="165"/>
      <c r="D8" s="165"/>
      <c r="E8" s="165"/>
      <c r="F8" s="165"/>
      <c r="G8" s="165"/>
      <c r="H8" s="165"/>
      <c r="I8" s="165"/>
      <c r="J8" s="165"/>
      <c r="K8" s="165"/>
      <c r="L8" s="115"/>
      <c r="M8" s="126"/>
      <c r="Q8" s="20" t="s">
        <v>17</v>
      </c>
    </row>
    <row r="9" spans="2:20" ht="15" thickBot="1"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T9" s="1" t="s">
        <v>18</v>
      </c>
    </row>
    <row r="10" spans="2:20" ht="19.5" customHeight="1">
      <c r="B10" s="21"/>
      <c r="C10" s="163"/>
      <c r="D10" s="163"/>
      <c r="E10" s="163"/>
      <c r="F10" s="163"/>
      <c r="G10" s="163"/>
      <c r="H10" s="163"/>
      <c r="I10" s="163"/>
      <c r="J10" s="163"/>
      <c r="K10" s="105" t="s">
        <v>19</v>
      </c>
      <c r="L10" s="116"/>
      <c r="M10" s="127"/>
      <c r="Q10" s="2" t="s">
        <v>20</v>
      </c>
    </row>
    <row r="11" spans="2:20" ht="33.75" customHeight="1">
      <c r="B11" s="22"/>
      <c r="C11" s="103" t="s">
        <v>21</v>
      </c>
      <c r="E11" s="79" t="s">
        <v>22</v>
      </c>
      <c r="F11" s="96" t="s">
        <v>23</v>
      </c>
      <c r="G11" s="80" t="s">
        <v>24</v>
      </c>
      <c r="H11" s="81" t="s">
        <v>25</v>
      </c>
      <c r="I11" s="82" t="s">
        <v>26</v>
      </c>
      <c r="J11" s="4"/>
      <c r="K11" s="185">
        <f>G12</f>
        <v>18</v>
      </c>
      <c r="L11" s="112"/>
      <c r="M11" s="111"/>
      <c r="Q11" s="2" t="s">
        <v>27</v>
      </c>
    </row>
    <row r="12" spans="2:20" ht="15" customHeight="1">
      <c r="B12" s="22"/>
      <c r="E12" s="23">
        <f>F12+G12</f>
        <v>20</v>
      </c>
      <c r="F12" s="35">
        <v>2</v>
      </c>
      <c r="G12" s="23">
        <v>18</v>
      </c>
      <c r="H12" s="36">
        <v>0.05</v>
      </c>
      <c r="I12" s="108">
        <f>G12/(F12+G12)</f>
        <v>0.9</v>
      </c>
      <c r="J12" s="24"/>
      <c r="K12" s="186"/>
      <c r="L12" s="112"/>
      <c r="M12" s="111"/>
    </row>
    <row r="13" spans="2:20" ht="15" customHeight="1">
      <c r="B13" s="22"/>
      <c r="C13" s="109" t="s">
        <v>28</v>
      </c>
      <c r="E13" s="5"/>
      <c r="F13" s="5"/>
      <c r="G13" s="5"/>
      <c r="H13" s="5"/>
      <c r="I13" s="5"/>
      <c r="J13" s="24"/>
      <c r="K13" s="75"/>
      <c r="L13" s="75"/>
      <c r="M13" s="111"/>
    </row>
    <row r="14" spans="2:20" ht="15" customHeight="1">
      <c r="B14" s="22"/>
      <c r="C14" s="107" t="s">
        <v>29</v>
      </c>
      <c r="D14" s="151"/>
      <c r="E14" s="151"/>
      <c r="F14" s="151"/>
      <c r="G14" s="151"/>
      <c r="H14" s="106" t="s">
        <v>30</v>
      </c>
      <c r="I14" s="151"/>
      <c r="J14" s="151"/>
      <c r="K14" s="167"/>
      <c r="L14" s="112"/>
      <c r="M14" s="111"/>
    </row>
    <row r="15" spans="2:20" ht="15" customHeight="1">
      <c r="B15" s="22"/>
      <c r="C15" s="176">
        <v>1</v>
      </c>
      <c r="D15" s="177"/>
      <c r="E15" s="177"/>
      <c r="F15" s="177"/>
      <c r="G15" s="150"/>
      <c r="H15" s="177">
        <v>1</v>
      </c>
      <c r="I15" s="177"/>
      <c r="J15" s="177"/>
      <c r="K15" s="184"/>
      <c r="L15" s="112"/>
      <c r="M15" s="111"/>
    </row>
    <row r="16" spans="2:20" ht="15" customHeight="1">
      <c r="B16" s="22"/>
      <c r="C16" s="176">
        <v>2</v>
      </c>
      <c r="D16" s="177"/>
      <c r="E16" s="177"/>
      <c r="F16" s="177"/>
      <c r="G16" s="150"/>
      <c r="H16" s="177">
        <v>2</v>
      </c>
      <c r="I16" s="177"/>
      <c r="J16" s="177"/>
      <c r="K16" s="184"/>
      <c r="L16" s="112"/>
      <c r="M16" s="111"/>
    </row>
    <row r="17" spans="2:16" ht="15" customHeight="1">
      <c r="B17" s="22"/>
      <c r="C17" s="178">
        <v>3</v>
      </c>
      <c r="D17" s="174"/>
      <c r="E17" s="174"/>
      <c r="F17" s="174"/>
      <c r="G17" s="152"/>
      <c r="H17" s="174">
        <v>3</v>
      </c>
      <c r="I17" s="174"/>
      <c r="J17" s="174"/>
      <c r="K17" s="175"/>
      <c r="L17" s="112"/>
      <c r="M17" s="111"/>
    </row>
    <row r="18" spans="2:16" ht="15" customHeight="1">
      <c r="B18" s="22"/>
      <c r="C18" s="151"/>
      <c r="D18" s="151"/>
      <c r="E18" s="151"/>
      <c r="F18" s="151"/>
      <c r="G18" s="151"/>
      <c r="H18" s="151"/>
      <c r="I18" s="151"/>
      <c r="J18" s="151"/>
      <c r="K18" s="151"/>
      <c r="L18" s="112"/>
      <c r="M18" s="111"/>
    </row>
    <row r="19" spans="2:16" ht="39" customHeight="1">
      <c r="B19" s="22"/>
      <c r="C19" s="84"/>
      <c r="D19" s="91" t="s">
        <v>31</v>
      </c>
      <c r="E19" s="93"/>
      <c r="F19" s="91" t="s">
        <v>32</v>
      </c>
      <c r="G19" s="90"/>
      <c r="H19" s="158" t="s">
        <v>33</v>
      </c>
      <c r="I19" s="158"/>
      <c r="J19" s="158"/>
      <c r="K19" s="158"/>
      <c r="L19" s="91" t="s">
        <v>34</v>
      </c>
      <c r="M19" s="139" t="s">
        <v>34</v>
      </c>
    </row>
    <row r="20" spans="2:16">
      <c r="B20" s="22"/>
      <c r="C20" s="88" t="s">
        <v>35</v>
      </c>
      <c r="D20" s="187"/>
      <c r="E20" s="187"/>
      <c r="F20" s="187"/>
      <c r="G20" s="187"/>
      <c r="H20" s="187"/>
      <c r="I20" s="187"/>
      <c r="J20" s="187"/>
      <c r="K20" s="187"/>
      <c r="L20" s="188"/>
      <c r="M20" s="111"/>
    </row>
    <row r="21" spans="2:16" ht="15" customHeight="1">
      <c r="B21" s="22"/>
      <c r="C21" s="97" t="s">
        <v>36</v>
      </c>
      <c r="D21" s="89">
        <v>0.5</v>
      </c>
      <c r="E21" s="84"/>
      <c r="F21" s="89"/>
      <c r="G21" s="85"/>
      <c r="H21" s="153"/>
      <c r="I21" s="153"/>
      <c r="J21" s="153"/>
      <c r="K21" s="153"/>
      <c r="L21" s="112"/>
      <c r="M21" s="111"/>
    </row>
    <row r="22" spans="2:16" ht="15" customHeight="1">
      <c r="B22" s="22"/>
      <c r="C22" s="98" t="s">
        <v>37</v>
      </c>
      <c r="D22" s="89">
        <v>0.4</v>
      </c>
      <c r="E22" s="84"/>
      <c r="F22" s="89"/>
      <c r="G22" s="85"/>
      <c r="H22" s="153"/>
      <c r="I22" s="153"/>
      <c r="J22" s="153"/>
      <c r="K22" s="153"/>
      <c r="L22" s="112"/>
      <c r="M22" s="111"/>
    </row>
    <row r="23" spans="2:16" ht="15" customHeight="1">
      <c r="B23" s="22"/>
      <c r="C23" s="98" t="s">
        <v>38</v>
      </c>
      <c r="D23" s="89">
        <v>3</v>
      </c>
      <c r="E23" s="84"/>
      <c r="F23" s="89"/>
      <c r="G23" s="85"/>
      <c r="H23" s="153"/>
      <c r="I23" s="153"/>
      <c r="J23" s="153"/>
      <c r="K23" s="153"/>
      <c r="L23" s="112"/>
      <c r="M23" s="111"/>
    </row>
    <row r="24" spans="2:16" ht="15" customHeight="1">
      <c r="B24" s="22"/>
      <c r="C24" s="99" t="s">
        <v>39</v>
      </c>
      <c r="D24" s="89">
        <v>0.6</v>
      </c>
      <c r="E24" s="84"/>
      <c r="F24" s="89"/>
      <c r="G24" s="85"/>
      <c r="H24" s="153"/>
      <c r="I24" s="153"/>
      <c r="J24" s="153"/>
      <c r="K24" s="153"/>
      <c r="L24" s="112"/>
      <c r="M24" s="111"/>
      <c r="O24" s="1" t="s">
        <v>40</v>
      </c>
      <c r="P24" s="1" t="s">
        <v>41</v>
      </c>
    </row>
    <row r="25" spans="2:16" ht="8.25" customHeight="1">
      <c r="B25" s="22"/>
      <c r="C25" s="189"/>
      <c r="D25" s="189"/>
      <c r="E25" s="189"/>
      <c r="F25" s="189"/>
      <c r="G25" s="189"/>
      <c r="H25" s="189"/>
      <c r="I25" s="189"/>
      <c r="J25" s="189"/>
      <c r="K25" s="189"/>
      <c r="L25" s="190"/>
      <c r="M25" s="111"/>
    </row>
    <row r="26" spans="2:16" ht="15" customHeight="1">
      <c r="B26" s="94"/>
      <c r="C26" s="88" t="s">
        <v>42</v>
      </c>
      <c r="D26" s="150"/>
      <c r="E26" s="150"/>
      <c r="F26" s="150"/>
      <c r="G26" s="150"/>
      <c r="H26" s="150"/>
      <c r="I26" s="150"/>
      <c r="J26" s="150"/>
      <c r="K26" s="150"/>
      <c r="L26" s="112"/>
      <c r="M26" s="111"/>
      <c r="O26" s="1">
        <v>3</v>
      </c>
      <c r="P26" s="1">
        <v>3</v>
      </c>
    </row>
    <row r="27" spans="2:16" ht="15" customHeight="1">
      <c r="B27" s="22"/>
      <c r="C27" s="97" t="s">
        <v>43</v>
      </c>
      <c r="D27" s="89">
        <v>0.5</v>
      </c>
      <c r="E27" s="84"/>
      <c r="F27" s="89"/>
      <c r="G27" s="85"/>
      <c r="H27" s="153"/>
      <c r="I27" s="153"/>
      <c r="J27" s="153"/>
      <c r="K27" s="153"/>
      <c r="L27" s="112"/>
      <c r="M27" s="111"/>
      <c r="O27" s="1">
        <v>3</v>
      </c>
      <c r="P27" s="1">
        <v>3</v>
      </c>
    </row>
    <row r="28" spans="2:16" ht="15" customHeight="1">
      <c r="B28" s="22"/>
      <c r="C28" s="98" t="s">
        <v>44</v>
      </c>
      <c r="D28" s="89">
        <v>0.6</v>
      </c>
      <c r="E28" s="84"/>
      <c r="F28" s="89"/>
      <c r="G28" s="85"/>
      <c r="H28" s="153"/>
      <c r="I28" s="153"/>
      <c r="J28" s="153"/>
      <c r="K28" s="153"/>
      <c r="L28" s="112"/>
      <c r="M28" s="111"/>
      <c r="O28" s="1">
        <v>3</v>
      </c>
      <c r="P28" s="1">
        <v>3</v>
      </c>
    </row>
    <row r="29" spans="2:16" ht="15" customHeight="1">
      <c r="B29" s="22"/>
      <c r="C29" s="98" t="s">
        <v>45</v>
      </c>
      <c r="D29" s="89">
        <v>2</v>
      </c>
      <c r="E29" s="84"/>
      <c r="F29" s="89"/>
      <c r="G29" s="85"/>
      <c r="H29" s="153"/>
      <c r="I29" s="153"/>
      <c r="J29" s="153"/>
      <c r="K29" s="153"/>
      <c r="L29" s="112"/>
      <c r="M29" s="111"/>
    </row>
    <row r="30" spans="2:16" ht="15" customHeight="1">
      <c r="B30" s="22"/>
      <c r="C30" s="98" t="s">
        <v>46</v>
      </c>
      <c r="D30" s="89">
        <v>1</v>
      </c>
      <c r="E30" s="84"/>
      <c r="F30" s="89"/>
      <c r="G30" s="85"/>
      <c r="H30" s="153"/>
      <c r="I30" s="153"/>
      <c r="J30" s="153"/>
      <c r="K30" s="153"/>
      <c r="L30" s="112"/>
      <c r="M30" s="111"/>
    </row>
    <row r="31" spans="2:16" ht="15" customHeight="1">
      <c r="B31" s="22"/>
      <c r="C31" s="99" t="s">
        <v>47</v>
      </c>
      <c r="D31" s="89">
        <v>0.6</v>
      </c>
      <c r="E31" s="84"/>
      <c r="F31" s="89"/>
      <c r="G31" s="85"/>
      <c r="H31" s="153"/>
      <c r="I31" s="153"/>
      <c r="J31" s="153"/>
      <c r="K31" s="153"/>
      <c r="L31" s="112"/>
      <c r="M31" s="111"/>
    </row>
    <row r="32" spans="2:16" ht="9.75" customHeight="1">
      <c r="B32" s="22"/>
      <c r="C32" s="189"/>
      <c r="D32" s="189"/>
      <c r="E32" s="189"/>
      <c r="F32" s="189"/>
      <c r="G32" s="189"/>
      <c r="H32" s="189"/>
      <c r="I32" s="189"/>
      <c r="J32" s="189"/>
      <c r="K32" s="189"/>
      <c r="L32" s="190"/>
      <c r="M32" s="111"/>
    </row>
    <row r="33" spans="2:14" ht="15" customHeight="1">
      <c r="B33" s="22"/>
      <c r="C33" s="88" t="s">
        <v>48</v>
      </c>
      <c r="D33" s="191"/>
      <c r="E33" s="191"/>
      <c r="F33" s="191"/>
      <c r="G33" s="191"/>
      <c r="H33" s="191"/>
      <c r="I33" s="191"/>
      <c r="J33" s="191"/>
      <c r="K33" s="191"/>
      <c r="M33" s="111"/>
    </row>
    <row r="34" spans="2:14" ht="15" customHeight="1">
      <c r="B34" s="22"/>
      <c r="C34" s="97" t="s">
        <v>49</v>
      </c>
      <c r="D34" s="89">
        <v>2</v>
      </c>
      <c r="E34" s="84"/>
      <c r="F34" s="89"/>
      <c r="G34" s="85"/>
      <c r="H34" s="153"/>
      <c r="I34" s="153"/>
      <c r="J34" s="153"/>
      <c r="K34" s="154"/>
      <c r="L34" s="192" t="s">
        <v>50</v>
      </c>
      <c r="M34" s="143" t="s">
        <v>51</v>
      </c>
      <c r="N34" s="22"/>
    </row>
    <row r="35" spans="2:14" ht="15" customHeight="1">
      <c r="B35" s="22"/>
      <c r="C35" s="98"/>
      <c r="D35" s="84"/>
      <c r="E35" s="84"/>
      <c r="F35" s="84"/>
      <c r="G35" s="85"/>
      <c r="H35" s="84"/>
      <c r="I35" s="84"/>
      <c r="J35" s="84"/>
      <c r="K35" s="84"/>
      <c r="L35" s="141"/>
      <c r="M35" s="146"/>
      <c r="N35" s="22"/>
    </row>
    <row r="36" spans="2:14" ht="15" customHeight="1">
      <c r="B36" s="22"/>
      <c r="C36" s="98" t="s">
        <v>52</v>
      </c>
      <c r="D36" s="89">
        <v>3</v>
      </c>
      <c r="E36" s="84"/>
      <c r="F36" s="89"/>
      <c r="G36" s="85"/>
      <c r="H36" s="153"/>
      <c r="I36" s="153"/>
      <c r="J36" s="153"/>
      <c r="K36" s="154"/>
      <c r="L36" s="142" t="s">
        <v>53</v>
      </c>
      <c r="M36" s="143" t="s">
        <v>54</v>
      </c>
      <c r="N36" s="22"/>
    </row>
    <row r="37" spans="2:14" ht="15" customHeight="1">
      <c r="B37" s="22"/>
      <c r="C37" s="98"/>
      <c r="D37" s="84"/>
      <c r="E37" s="84"/>
      <c r="F37" s="84"/>
      <c r="G37" s="85"/>
      <c r="H37" s="84"/>
      <c r="I37" s="84"/>
      <c r="J37" s="84"/>
      <c r="K37" s="84"/>
      <c r="L37" s="140"/>
      <c r="M37" s="145"/>
      <c r="N37" s="22"/>
    </row>
    <row r="38" spans="2:14" ht="15" customHeight="1">
      <c r="B38" s="22"/>
      <c r="C38" s="99" t="s">
        <v>55</v>
      </c>
      <c r="D38" s="89">
        <v>1</v>
      </c>
      <c r="E38" s="84"/>
      <c r="F38" s="89"/>
      <c r="G38" s="85"/>
      <c r="H38" s="153"/>
      <c r="I38" s="153"/>
      <c r="J38" s="153"/>
      <c r="K38" s="153"/>
      <c r="L38" s="89"/>
      <c r="M38" s="144"/>
    </row>
    <row r="39" spans="2:14" ht="9.75" customHeight="1">
      <c r="B39" s="22"/>
      <c r="C39" s="189"/>
      <c r="D39" s="189"/>
      <c r="E39" s="189"/>
      <c r="F39" s="189"/>
      <c r="G39" s="189"/>
      <c r="H39" s="189"/>
      <c r="I39" s="189"/>
      <c r="J39" s="189"/>
      <c r="K39" s="189"/>
      <c r="L39" s="190"/>
      <c r="M39" s="111"/>
    </row>
    <row r="40" spans="2:14" ht="27.75" customHeight="1">
      <c r="B40" s="22"/>
      <c r="C40" s="97" t="s">
        <v>56</v>
      </c>
      <c r="D40" s="92">
        <v>2</v>
      </c>
      <c r="E40" s="1"/>
      <c r="F40" s="89"/>
      <c r="G40" s="85"/>
      <c r="H40" s="153"/>
      <c r="I40" s="153"/>
      <c r="J40" s="153"/>
      <c r="K40" s="153"/>
      <c r="L40" s="112"/>
      <c r="M40" s="111"/>
    </row>
    <row r="41" spans="2:14" ht="15" customHeight="1">
      <c r="B41" s="22"/>
      <c r="C41" s="98" t="s">
        <v>57</v>
      </c>
      <c r="D41" s="89">
        <v>1</v>
      </c>
      <c r="E41" s="1"/>
      <c r="F41" s="89"/>
      <c r="G41" s="85"/>
      <c r="H41" s="153"/>
      <c r="I41" s="153"/>
      <c r="J41" s="153"/>
      <c r="K41" s="153"/>
      <c r="L41" s="112"/>
      <c r="M41" s="111"/>
    </row>
    <row r="42" spans="2:14" ht="15" customHeight="1">
      <c r="B42" s="22"/>
      <c r="C42" s="99" t="s">
        <v>58</v>
      </c>
      <c r="D42" s="89">
        <v>3</v>
      </c>
      <c r="E42" s="84"/>
      <c r="F42" s="89"/>
      <c r="G42" s="85"/>
      <c r="H42" s="153"/>
      <c r="I42" s="153"/>
      <c r="J42" s="153"/>
      <c r="K42" s="153"/>
      <c r="L42" s="112"/>
      <c r="M42" s="111"/>
    </row>
    <row r="43" spans="2:14" ht="15" customHeight="1">
      <c r="B43" s="22"/>
      <c r="C43" s="83"/>
      <c r="D43" s="95"/>
      <c r="E43" s="84"/>
      <c r="F43" s="95"/>
      <c r="G43" s="85"/>
      <c r="H43" s="95"/>
      <c r="I43" s="95"/>
      <c r="J43" s="95"/>
      <c r="K43" s="95"/>
      <c r="L43" s="112"/>
      <c r="M43" s="111"/>
    </row>
    <row r="44" spans="2:14" ht="30" customHeight="1">
      <c r="B44" s="22"/>
      <c r="C44" s="101" t="s">
        <v>59</v>
      </c>
      <c r="D44" s="102">
        <v>0.3</v>
      </c>
      <c r="E44" s="84"/>
      <c r="F44" s="89"/>
      <c r="G44" s="85"/>
      <c r="H44" s="153"/>
      <c r="I44" s="153"/>
      <c r="J44" s="153"/>
      <c r="K44" s="153"/>
      <c r="L44" s="112"/>
      <c r="M44" s="111"/>
    </row>
    <row r="45" spans="2:14" ht="15" customHeight="1">
      <c r="B45" s="22"/>
      <c r="C45" s="99" t="s">
        <v>60</v>
      </c>
      <c r="D45" s="100">
        <v>0.5</v>
      </c>
      <c r="E45" s="84"/>
      <c r="F45" s="89"/>
      <c r="G45" s="85"/>
      <c r="H45" s="153"/>
      <c r="I45" s="153"/>
      <c r="J45" s="153"/>
      <c r="K45" s="153"/>
      <c r="L45" s="112"/>
      <c r="M45" s="111"/>
    </row>
    <row r="46" spans="2:14" ht="12.75" customHeight="1">
      <c r="B46" s="22"/>
      <c r="C46" s="150"/>
      <c r="D46" s="150"/>
      <c r="E46" s="150"/>
      <c r="F46" s="150"/>
      <c r="G46" s="150"/>
      <c r="H46" s="150"/>
      <c r="I46" s="150"/>
      <c r="J46" s="150"/>
      <c r="K46" s="150"/>
      <c r="L46" s="112"/>
      <c r="M46" s="111"/>
    </row>
    <row r="47" spans="2:14" ht="15" customHeight="1">
      <c r="B47" s="22"/>
      <c r="C47" s="86" t="s">
        <v>61</v>
      </c>
      <c r="D47" s="87">
        <f>SUM(D21:D45)</f>
        <v>22</v>
      </c>
      <c r="E47" s="86" t="s">
        <v>62</v>
      </c>
      <c r="F47" s="87">
        <f>SUM(F21:F42)</f>
        <v>0</v>
      </c>
      <c r="G47" s="85"/>
      <c r="H47" s="150"/>
      <c r="I47" s="150"/>
      <c r="J47" s="150"/>
      <c r="K47" s="150"/>
      <c r="L47" s="112"/>
      <c r="M47" s="111"/>
    </row>
    <row r="48" spans="2:14" ht="12" customHeight="1" thickBot="1">
      <c r="B48" s="25"/>
      <c r="C48" s="160"/>
      <c r="D48" s="160"/>
      <c r="E48" s="160"/>
      <c r="F48" s="160"/>
      <c r="G48" s="160"/>
      <c r="H48" s="160"/>
      <c r="I48" s="160"/>
      <c r="J48" s="160"/>
      <c r="K48" s="160"/>
      <c r="L48" s="117"/>
      <c r="M48" s="128"/>
    </row>
    <row r="49" spans="2:14" ht="15" thickBot="1"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</row>
    <row r="50" spans="2:14" ht="9.75" customHeight="1">
      <c r="B50" s="162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4"/>
    </row>
    <row r="51" spans="2:14">
      <c r="B51" s="22"/>
      <c r="C51" s="12" t="s">
        <v>63</v>
      </c>
      <c r="D51" s="110" t="s">
        <v>64</v>
      </c>
      <c r="M51" s="111"/>
    </row>
    <row r="52" spans="2:14">
      <c r="B52" s="22"/>
      <c r="C52" s="155" t="s">
        <v>65</v>
      </c>
      <c r="D52" s="156"/>
      <c r="E52" s="28" t="s">
        <v>20</v>
      </c>
      <c r="F52" s="1" t="str">
        <f t="shared" ref="F52:F60" si="0">E52</f>
        <v>OK</v>
      </c>
      <c r="G52" s="27" t="s">
        <v>66</v>
      </c>
      <c r="H52" s="157"/>
      <c r="I52" s="157"/>
      <c r="J52" s="157"/>
      <c r="K52" s="157"/>
      <c r="M52" s="111"/>
    </row>
    <row r="53" spans="2:14">
      <c r="B53" s="22"/>
      <c r="C53" s="155" t="s">
        <v>67</v>
      </c>
      <c r="D53" s="156"/>
      <c r="E53" s="28" t="s">
        <v>20</v>
      </c>
      <c r="F53" s="1" t="str">
        <f t="shared" si="0"/>
        <v>OK</v>
      </c>
      <c r="G53" s="27" t="s">
        <v>66</v>
      </c>
      <c r="H53" s="157"/>
      <c r="I53" s="157"/>
      <c r="J53" s="157"/>
      <c r="K53" s="157"/>
      <c r="M53" s="111"/>
    </row>
    <row r="54" spans="2:14">
      <c r="B54" s="22"/>
      <c r="C54" s="155" t="s">
        <v>68</v>
      </c>
      <c r="D54" s="156"/>
      <c r="E54" s="28" t="s">
        <v>20</v>
      </c>
      <c r="F54" s="1" t="str">
        <f t="shared" si="0"/>
        <v>OK</v>
      </c>
      <c r="G54" s="27" t="s">
        <v>66</v>
      </c>
      <c r="H54" s="157"/>
      <c r="I54" s="157"/>
      <c r="J54" s="157"/>
      <c r="K54" s="157"/>
      <c r="M54" s="111"/>
    </row>
    <row r="55" spans="2:14">
      <c r="B55" s="22"/>
      <c r="C55" s="155" t="s">
        <v>69</v>
      </c>
      <c r="D55" s="156"/>
      <c r="E55" s="28" t="s">
        <v>20</v>
      </c>
      <c r="F55" s="1" t="str">
        <f t="shared" si="0"/>
        <v>OK</v>
      </c>
      <c r="G55" s="27" t="s">
        <v>66</v>
      </c>
      <c r="H55" s="157"/>
      <c r="I55" s="157"/>
      <c r="J55" s="157"/>
      <c r="K55" s="157"/>
      <c r="M55" s="111"/>
    </row>
    <row r="56" spans="2:14">
      <c r="B56" s="22"/>
      <c r="C56" s="155" t="s">
        <v>70</v>
      </c>
      <c r="D56" s="156"/>
      <c r="E56" s="28" t="s">
        <v>20</v>
      </c>
      <c r="F56" s="1" t="str">
        <f t="shared" si="0"/>
        <v>OK</v>
      </c>
      <c r="G56" s="27" t="s">
        <v>66</v>
      </c>
      <c r="H56" s="157"/>
      <c r="I56" s="157"/>
      <c r="J56" s="157"/>
      <c r="K56" s="157"/>
      <c r="M56" s="111"/>
    </row>
    <row r="57" spans="2:14">
      <c r="B57" s="22"/>
      <c r="C57" s="155" t="s">
        <v>71</v>
      </c>
      <c r="D57" s="156"/>
      <c r="E57" s="28" t="s">
        <v>20</v>
      </c>
      <c r="F57" s="1" t="str">
        <f t="shared" si="0"/>
        <v>OK</v>
      </c>
      <c r="G57" s="27" t="s">
        <v>66</v>
      </c>
      <c r="H57" s="157"/>
      <c r="I57" s="157"/>
      <c r="J57" s="157"/>
      <c r="K57" s="157"/>
      <c r="M57" s="111"/>
    </row>
    <row r="58" spans="2:14">
      <c r="B58" s="22"/>
      <c r="C58" s="155" t="s">
        <v>72</v>
      </c>
      <c r="D58" s="156"/>
      <c r="E58" s="28" t="s">
        <v>20</v>
      </c>
      <c r="F58" s="1" t="str">
        <f t="shared" si="0"/>
        <v>OK</v>
      </c>
      <c r="G58" s="27" t="s">
        <v>66</v>
      </c>
      <c r="H58" s="157"/>
      <c r="I58" s="157"/>
      <c r="J58" s="157"/>
      <c r="K58" s="157"/>
      <c r="M58" s="111"/>
    </row>
    <row r="59" spans="2:14">
      <c r="B59" s="22"/>
      <c r="C59" s="155" t="s">
        <v>73</v>
      </c>
      <c r="D59" s="156"/>
      <c r="E59" s="28" t="s">
        <v>20</v>
      </c>
      <c r="F59" s="37" t="str">
        <f t="shared" si="0"/>
        <v>OK</v>
      </c>
      <c r="G59" s="27" t="s">
        <v>66</v>
      </c>
      <c r="H59" s="157"/>
      <c r="I59" s="157"/>
      <c r="J59" s="157"/>
      <c r="K59" s="157"/>
      <c r="M59" s="111"/>
    </row>
    <row r="60" spans="2:14">
      <c r="B60" s="22"/>
      <c r="C60" s="155" t="s">
        <v>74</v>
      </c>
      <c r="D60" s="156"/>
      <c r="E60" s="28" t="s">
        <v>20</v>
      </c>
      <c r="F60" s="1" t="str">
        <f t="shared" si="0"/>
        <v>OK</v>
      </c>
      <c r="G60" s="27" t="s">
        <v>66</v>
      </c>
      <c r="H60" s="157"/>
      <c r="I60" s="157"/>
      <c r="J60" s="157"/>
      <c r="K60" s="157"/>
      <c r="M60" s="111"/>
    </row>
    <row r="61" spans="2:14" ht="12" customHeight="1" thickBot="1">
      <c r="B61" s="25"/>
      <c r="C61" s="160"/>
      <c r="D61" s="160"/>
      <c r="E61" s="160"/>
      <c r="F61" s="160"/>
      <c r="G61" s="160"/>
      <c r="H61" s="160"/>
      <c r="I61" s="160"/>
      <c r="J61" s="160"/>
      <c r="K61" s="160"/>
      <c r="L61" s="117"/>
      <c r="M61" s="128"/>
    </row>
    <row r="62" spans="2:14" ht="15" thickBot="1"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</row>
    <row r="63" spans="2:14" s="57" customFormat="1" hidden="1">
      <c r="B63" s="56"/>
      <c r="C63" s="148"/>
      <c r="D63" s="148"/>
      <c r="E63" s="148"/>
      <c r="F63" s="148"/>
      <c r="G63" s="148"/>
      <c r="H63" s="148"/>
      <c r="I63" s="148"/>
      <c r="J63" s="148"/>
      <c r="K63" s="148"/>
      <c r="L63" s="118"/>
      <c r="M63" s="129"/>
    </row>
    <row r="64" spans="2:14" s="57" customFormat="1" hidden="1">
      <c r="B64" s="58"/>
      <c r="C64" s="59" t="s">
        <v>75</v>
      </c>
      <c r="E64" s="60" t="s">
        <v>76</v>
      </c>
      <c r="F64" s="61" t="s">
        <v>17</v>
      </c>
      <c r="H64" s="168" t="str">
        <f>F64</f>
        <v>BAD</v>
      </c>
      <c r="I64" s="168"/>
      <c r="J64" s="168"/>
      <c r="K64" s="168"/>
      <c r="L64" s="119"/>
      <c r="M64" s="119"/>
      <c r="N64" s="58"/>
    </row>
    <row r="65" spans="2:13" s="57" customFormat="1" hidden="1">
      <c r="B65" s="58"/>
      <c r="E65" s="62"/>
      <c r="L65" s="119"/>
      <c r="M65" s="130"/>
    </row>
    <row r="66" spans="2:13" s="57" customFormat="1" hidden="1">
      <c r="B66" s="58"/>
      <c r="E66" s="62"/>
      <c r="L66" s="119"/>
      <c r="M66" s="130"/>
    </row>
    <row r="67" spans="2:13" s="57" customFormat="1" hidden="1">
      <c r="B67" s="58"/>
      <c r="C67" s="76" t="s">
        <v>77</v>
      </c>
      <c r="D67" s="77" t="s">
        <v>78</v>
      </c>
      <c r="E67" s="77" t="s">
        <v>79</v>
      </c>
      <c r="F67" s="78" t="s">
        <v>80</v>
      </c>
      <c r="G67" s="77" t="s">
        <v>81</v>
      </c>
      <c r="H67" s="77" t="s">
        <v>82</v>
      </c>
      <c r="I67" s="77" t="s">
        <v>83</v>
      </c>
      <c r="J67" s="77" t="s">
        <v>84</v>
      </c>
      <c r="K67" s="76" t="s">
        <v>22</v>
      </c>
      <c r="L67" s="120"/>
      <c r="M67" s="130"/>
    </row>
    <row r="68" spans="2:13" s="57" customFormat="1" hidden="1">
      <c r="B68" s="58"/>
      <c r="C68" s="67" t="s">
        <v>85</v>
      </c>
      <c r="D68" s="63">
        <v>0</v>
      </c>
      <c r="E68" s="63">
        <v>0</v>
      </c>
      <c r="F68" s="63">
        <v>0</v>
      </c>
      <c r="G68" s="63">
        <v>0</v>
      </c>
      <c r="H68" s="63">
        <v>0</v>
      </c>
      <c r="I68" s="63">
        <v>0</v>
      </c>
      <c r="J68" s="63">
        <v>0</v>
      </c>
      <c r="K68" s="63">
        <f t="shared" ref="K68:K73" si="1">AVERAGE(D68:J68)</f>
        <v>0</v>
      </c>
      <c r="L68" s="121"/>
      <c r="M68" s="130"/>
    </row>
    <row r="69" spans="2:13" s="57" customFormat="1" hidden="1">
      <c r="B69" s="58"/>
      <c r="C69" s="68" t="s">
        <v>86</v>
      </c>
      <c r="D69" s="63">
        <v>0</v>
      </c>
      <c r="E69" s="63">
        <v>0</v>
      </c>
      <c r="F69" s="63">
        <v>0</v>
      </c>
      <c r="G69" s="63">
        <v>0</v>
      </c>
      <c r="H69" s="63">
        <v>0</v>
      </c>
      <c r="I69" s="63">
        <v>0</v>
      </c>
      <c r="J69" s="63">
        <v>0</v>
      </c>
      <c r="K69" s="63">
        <f t="shared" si="1"/>
        <v>0</v>
      </c>
      <c r="L69" s="121"/>
      <c r="M69" s="130"/>
    </row>
    <row r="70" spans="2:13" s="57" customFormat="1" hidden="1">
      <c r="B70" s="58"/>
      <c r="C70" s="69" t="s">
        <v>87</v>
      </c>
      <c r="D70" s="63">
        <v>0</v>
      </c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f t="shared" si="1"/>
        <v>0</v>
      </c>
      <c r="L70" s="121"/>
      <c r="M70" s="130"/>
    </row>
    <row r="71" spans="2:13" s="57" customFormat="1" hidden="1">
      <c r="B71" s="58"/>
      <c r="C71" s="70" t="s">
        <v>88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f t="shared" si="1"/>
        <v>0</v>
      </c>
      <c r="L71" s="121"/>
      <c r="M71" s="130"/>
    </row>
    <row r="72" spans="2:13" s="57" customFormat="1" hidden="1">
      <c r="B72" s="58"/>
      <c r="C72" s="71" t="s">
        <v>89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f t="shared" si="1"/>
        <v>0</v>
      </c>
      <c r="L72" s="121"/>
      <c r="M72" s="130"/>
    </row>
    <row r="73" spans="2:13" s="57" customFormat="1" hidden="1">
      <c r="B73" s="58"/>
      <c r="C73" s="73" t="s">
        <v>90</v>
      </c>
      <c r="D73" s="63">
        <f>SUM(D68:D72)</f>
        <v>0</v>
      </c>
      <c r="E73" s="63">
        <f t="shared" ref="E73:J73" si="2">SUM(E68:E72)</f>
        <v>0</v>
      </c>
      <c r="F73" s="63">
        <f t="shared" si="2"/>
        <v>0</v>
      </c>
      <c r="G73" s="63">
        <f t="shared" si="2"/>
        <v>0</v>
      </c>
      <c r="H73" s="63">
        <f t="shared" si="2"/>
        <v>0</v>
      </c>
      <c r="I73" s="63">
        <f t="shared" si="2"/>
        <v>0</v>
      </c>
      <c r="J73" s="63">
        <f t="shared" si="2"/>
        <v>0</v>
      </c>
      <c r="K73" s="63">
        <f t="shared" si="1"/>
        <v>0</v>
      </c>
      <c r="L73" s="121"/>
      <c r="M73" s="130"/>
    </row>
    <row r="74" spans="2:13" s="57" customFormat="1" hidden="1">
      <c r="B74" s="58"/>
      <c r="C74" s="74" t="s">
        <v>91</v>
      </c>
      <c r="D74" s="63">
        <v>1</v>
      </c>
      <c r="E74" s="63">
        <v>1</v>
      </c>
      <c r="F74" s="63">
        <v>1</v>
      </c>
      <c r="G74" s="63">
        <v>1</v>
      </c>
      <c r="H74" s="63">
        <v>1</v>
      </c>
      <c r="I74" s="63">
        <v>1</v>
      </c>
      <c r="J74" s="63">
        <v>1</v>
      </c>
      <c r="K74" s="63">
        <f>AVERAGE(D74:J74)</f>
        <v>1</v>
      </c>
      <c r="L74" s="121"/>
      <c r="M74" s="130"/>
    </row>
    <row r="75" spans="2:13" s="57" customFormat="1" hidden="1">
      <c r="B75" s="58"/>
      <c r="C75" s="72" t="s">
        <v>28</v>
      </c>
      <c r="D75" s="149"/>
      <c r="E75" s="149"/>
      <c r="F75" s="149"/>
      <c r="G75" s="149"/>
      <c r="H75" s="149"/>
      <c r="I75" s="149"/>
      <c r="J75" s="149"/>
      <c r="K75" s="149"/>
      <c r="L75" s="119"/>
      <c r="M75" s="130"/>
    </row>
    <row r="76" spans="2:13" s="57" customFormat="1" hidden="1">
      <c r="B76" s="58"/>
      <c r="C76" s="173"/>
      <c r="D76" s="173"/>
      <c r="E76" s="173"/>
      <c r="F76" s="173"/>
      <c r="G76" s="173"/>
      <c r="H76" s="173"/>
      <c r="I76" s="173"/>
      <c r="J76" s="173"/>
      <c r="K76" s="173"/>
      <c r="L76" s="131"/>
      <c r="M76" s="130"/>
    </row>
    <row r="77" spans="2:13" s="57" customFormat="1" hidden="1">
      <c r="B77" s="58"/>
      <c r="C77" s="173"/>
      <c r="D77" s="173"/>
      <c r="E77" s="173"/>
      <c r="F77" s="173"/>
      <c r="G77" s="173"/>
      <c r="H77" s="173"/>
      <c r="I77" s="173"/>
      <c r="J77" s="173"/>
      <c r="K77" s="173"/>
      <c r="L77" s="131"/>
      <c r="M77" s="130"/>
    </row>
    <row r="78" spans="2:13" s="57" customFormat="1" hidden="1">
      <c r="B78" s="58"/>
      <c r="C78" s="173"/>
      <c r="D78" s="173"/>
      <c r="E78" s="173"/>
      <c r="F78" s="173"/>
      <c r="G78" s="173"/>
      <c r="H78" s="173"/>
      <c r="I78" s="173"/>
      <c r="J78" s="173"/>
      <c r="K78" s="173"/>
      <c r="L78" s="131"/>
      <c r="M78" s="130"/>
    </row>
    <row r="79" spans="2:13" s="57" customFormat="1" ht="15" hidden="1" thickBot="1">
      <c r="B79" s="64"/>
      <c r="C79" s="65"/>
      <c r="D79" s="65"/>
      <c r="E79" s="66"/>
      <c r="F79" s="65"/>
      <c r="G79" s="65"/>
      <c r="H79" s="65"/>
      <c r="I79" s="65"/>
      <c r="J79" s="65"/>
      <c r="K79" s="65"/>
      <c r="L79" s="132"/>
      <c r="M79" s="133"/>
    </row>
    <row r="80" spans="2:13" ht="15" thickBot="1"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</row>
    <row r="81" spans="2:17" ht="10.5" customHeight="1">
      <c r="B81" s="21"/>
      <c r="C81" s="163"/>
      <c r="D81" s="163"/>
      <c r="E81" s="163"/>
      <c r="F81" s="163"/>
      <c r="G81" s="163"/>
      <c r="H81" s="163"/>
      <c r="I81" s="163"/>
      <c r="J81" s="163"/>
      <c r="K81" s="163"/>
      <c r="L81" s="122"/>
      <c r="M81" s="127"/>
    </row>
    <row r="82" spans="2:17" ht="15" hidden="1" thickBot="1">
      <c r="B82" s="22"/>
      <c r="C82" s="9" t="s">
        <v>92</v>
      </c>
      <c r="D82" s="33">
        <v>1</v>
      </c>
      <c r="E82" s="34">
        <v>0.8</v>
      </c>
      <c r="M82" s="111"/>
    </row>
    <row r="83" spans="2:17" ht="15" hidden="1" thickBot="1">
      <c r="B83" s="22"/>
      <c r="C83" s="29"/>
      <c r="D83" s="29"/>
      <c r="E83" s="30"/>
      <c r="G83" s="30"/>
      <c r="H83" s="30"/>
      <c r="I83" s="30"/>
      <c r="J83" s="30"/>
      <c r="K83" s="30"/>
      <c r="L83" s="29"/>
      <c r="M83" s="111"/>
      <c r="Q83" s="19"/>
    </row>
    <row r="84" spans="2:17" s="19" customFormat="1" ht="48.6" hidden="1" thickBot="1">
      <c r="B84" s="31"/>
      <c r="C84" s="42"/>
      <c r="D84" s="43" t="s">
        <v>93</v>
      </c>
      <c r="E84" s="43" t="s">
        <v>94</v>
      </c>
      <c r="F84" s="43" t="s">
        <v>95</v>
      </c>
      <c r="G84" s="43" t="s">
        <v>96</v>
      </c>
      <c r="H84" s="44" t="s">
        <v>97</v>
      </c>
      <c r="I84" s="44" t="s">
        <v>98</v>
      </c>
      <c r="J84" s="45" t="s">
        <v>99</v>
      </c>
      <c r="K84" s="55" t="s">
        <v>100</v>
      </c>
      <c r="L84" s="134"/>
      <c r="M84" s="111"/>
      <c r="Q84" s="1"/>
    </row>
    <row r="85" spans="2:17" ht="15" hidden="1" thickBot="1">
      <c r="B85" s="22"/>
      <c r="C85" s="46" t="s">
        <v>101</v>
      </c>
      <c r="D85" s="39"/>
      <c r="E85" s="39"/>
      <c r="F85" s="39"/>
      <c r="G85" s="39"/>
      <c r="H85" s="39"/>
      <c r="I85" s="39"/>
      <c r="J85" s="47"/>
      <c r="K85" s="40"/>
      <c r="L85" s="135"/>
      <c r="M85" s="111"/>
    </row>
    <row r="86" spans="2:17" ht="15" hidden="1" thickBot="1">
      <c r="B86" s="22"/>
      <c r="C86" s="48" t="s">
        <v>102</v>
      </c>
      <c r="D86" s="38" t="s">
        <v>103</v>
      </c>
      <c r="E86" s="38" t="s">
        <v>104</v>
      </c>
      <c r="F86" s="38" t="s">
        <v>105</v>
      </c>
      <c r="G86" s="38" t="s">
        <v>105</v>
      </c>
      <c r="H86" s="38">
        <v>0</v>
      </c>
      <c r="I86" s="38">
        <v>0</v>
      </c>
      <c r="J86" s="49">
        <v>0</v>
      </c>
      <c r="K86" s="41"/>
      <c r="L86" s="136"/>
      <c r="M86" s="111"/>
    </row>
    <row r="87" spans="2:17" ht="15" hidden="1" thickBot="1">
      <c r="B87" s="22"/>
      <c r="C87" s="50" t="s">
        <v>106</v>
      </c>
      <c r="D87" s="51" t="e">
        <f t="shared" ref="D87:J87" si="3">D85/D86</f>
        <v>#VALUE!</v>
      </c>
      <c r="E87" s="51" t="e">
        <f t="shared" si="3"/>
        <v>#VALUE!</v>
      </c>
      <c r="F87" s="51" t="e">
        <f t="shared" si="3"/>
        <v>#VALUE!</v>
      </c>
      <c r="G87" s="51" t="e">
        <f t="shared" si="3"/>
        <v>#VALUE!</v>
      </c>
      <c r="H87" s="52" t="e">
        <f t="shared" si="3"/>
        <v>#DIV/0!</v>
      </c>
      <c r="I87" s="51" t="e">
        <f t="shared" si="3"/>
        <v>#DIV/0!</v>
      </c>
      <c r="J87" s="53" t="e">
        <f t="shared" si="3"/>
        <v>#DIV/0!</v>
      </c>
      <c r="K87" s="54" t="s">
        <v>107</v>
      </c>
      <c r="L87" s="123"/>
      <c r="M87" s="111"/>
    </row>
    <row r="88" spans="2:17" ht="36.6" hidden="1" thickBot="1">
      <c r="C88" s="42"/>
      <c r="D88" s="43" t="s">
        <v>108</v>
      </c>
      <c r="E88" s="43" t="s">
        <v>109</v>
      </c>
      <c r="F88" s="43" t="s">
        <v>110</v>
      </c>
      <c r="G88" s="43" t="s">
        <v>111</v>
      </c>
      <c r="H88" s="43" t="s">
        <v>112</v>
      </c>
      <c r="I88" s="43" t="s">
        <v>113</v>
      </c>
      <c r="J88" s="43" t="s">
        <v>114</v>
      </c>
      <c r="K88" s="170" t="s">
        <v>100</v>
      </c>
      <c r="L88" s="137"/>
      <c r="M88" s="111"/>
    </row>
    <row r="89" spans="2:17" ht="15" hidden="1" thickBot="1">
      <c r="C89" s="46" t="s">
        <v>101</v>
      </c>
      <c r="D89" s="23"/>
      <c r="E89" s="23"/>
      <c r="F89" s="23"/>
      <c r="G89" s="23"/>
      <c r="H89" s="23"/>
      <c r="I89" s="23"/>
      <c r="J89" s="23"/>
      <c r="K89" s="171"/>
      <c r="L89" s="134"/>
      <c r="M89" s="111"/>
    </row>
    <row r="90" spans="2:17" ht="15" hidden="1" thickBot="1">
      <c r="C90" s="48" t="s">
        <v>102</v>
      </c>
      <c r="D90" s="35" t="s">
        <v>115</v>
      </c>
      <c r="E90" s="35" t="s">
        <v>115</v>
      </c>
      <c r="F90" s="35" t="s">
        <v>115</v>
      </c>
      <c r="G90" s="35" t="s">
        <v>115</v>
      </c>
      <c r="H90" s="35" t="s">
        <v>115</v>
      </c>
      <c r="I90" s="35">
        <v>15</v>
      </c>
      <c r="J90" s="35" t="s">
        <v>116</v>
      </c>
      <c r="K90" s="171"/>
      <c r="L90" s="134"/>
      <c r="M90" s="111"/>
    </row>
    <row r="91" spans="2:17" ht="15" hidden="1" thickBot="1">
      <c r="B91" s="26"/>
      <c r="C91" s="50" t="s">
        <v>106</v>
      </c>
      <c r="D91" s="51" t="e">
        <f t="shared" ref="D91:J91" si="4">D89/D90</f>
        <v>#VALUE!</v>
      </c>
      <c r="E91" s="51" t="e">
        <f t="shared" si="4"/>
        <v>#VALUE!</v>
      </c>
      <c r="F91" s="51" t="e">
        <f t="shared" si="4"/>
        <v>#VALUE!</v>
      </c>
      <c r="G91" s="51" t="e">
        <f t="shared" si="4"/>
        <v>#VALUE!</v>
      </c>
      <c r="H91" s="52" t="e">
        <f t="shared" si="4"/>
        <v>#VALUE!</v>
      </c>
      <c r="I91" s="51">
        <f t="shared" si="4"/>
        <v>0</v>
      </c>
      <c r="J91" s="53" t="e">
        <f t="shared" si="4"/>
        <v>#VALUE!</v>
      </c>
      <c r="K91" s="172"/>
      <c r="L91" s="138"/>
      <c r="M91" s="128"/>
    </row>
    <row r="92" spans="2:17" ht="15" hidden="1" thickBot="1"/>
    <row r="93" spans="2:17" ht="15" thickBot="1">
      <c r="B93" s="22"/>
      <c r="C93" s="169" t="s">
        <v>117</v>
      </c>
      <c r="D93" s="169"/>
      <c r="E93" s="169"/>
      <c r="M93" s="111"/>
    </row>
    <row r="94" spans="2:17" ht="43.9" thickBot="1">
      <c r="B94" s="22" t="s">
        <v>18</v>
      </c>
      <c r="C94" s="193"/>
      <c r="D94" s="194"/>
      <c r="E94" s="194"/>
      <c r="F94" s="194"/>
      <c r="G94" s="194"/>
      <c r="H94" s="194"/>
      <c r="I94" s="194"/>
      <c r="J94" s="194"/>
      <c r="K94" s="194"/>
      <c r="L94" s="195" t="s">
        <v>118</v>
      </c>
      <c r="M94" s="147" t="s">
        <v>119</v>
      </c>
    </row>
    <row r="95" spans="2:17">
      <c r="B95" s="22"/>
      <c r="C95" s="196"/>
      <c r="D95" s="197"/>
      <c r="E95" s="197"/>
      <c r="F95" s="197"/>
      <c r="G95" s="197"/>
      <c r="H95" s="197"/>
      <c r="I95" s="197"/>
      <c r="J95" s="197"/>
      <c r="K95" s="198"/>
      <c r="L95" s="188"/>
      <c r="M95" s="111"/>
    </row>
    <row r="96" spans="2:17">
      <c r="B96" s="22"/>
      <c r="C96" s="196"/>
      <c r="D96" s="197"/>
      <c r="E96" s="197"/>
      <c r="F96" s="197"/>
      <c r="G96" s="197"/>
      <c r="H96" s="197"/>
      <c r="I96" s="197"/>
      <c r="J96" s="197"/>
      <c r="K96" s="198"/>
      <c r="L96" s="188"/>
      <c r="M96" s="111"/>
    </row>
    <row r="97" spans="2:13">
      <c r="B97" s="22"/>
      <c r="C97" s="196"/>
      <c r="D97" s="197"/>
      <c r="E97" s="197"/>
      <c r="F97" s="197"/>
      <c r="G97" s="197"/>
      <c r="H97" s="197"/>
      <c r="I97" s="197"/>
      <c r="J97" s="197"/>
      <c r="K97" s="198"/>
      <c r="L97" s="188"/>
      <c r="M97" s="111"/>
    </row>
    <row r="98" spans="2:13">
      <c r="B98" s="22"/>
      <c r="C98" s="196"/>
      <c r="D98" s="197"/>
      <c r="E98" s="197"/>
      <c r="F98" s="197"/>
      <c r="G98" s="197"/>
      <c r="H98" s="197"/>
      <c r="I98" s="197"/>
      <c r="J98" s="197"/>
      <c r="K98" s="198"/>
      <c r="L98" s="188"/>
      <c r="M98" s="111"/>
    </row>
    <row r="99" spans="2:13">
      <c r="B99" s="22"/>
      <c r="C99" s="196"/>
      <c r="D99" s="197"/>
      <c r="E99" s="197"/>
      <c r="F99" s="197"/>
      <c r="G99" s="197"/>
      <c r="H99" s="197"/>
      <c r="I99" s="197"/>
      <c r="J99" s="197"/>
      <c r="K99" s="198"/>
      <c r="L99" s="188"/>
      <c r="M99" s="111"/>
    </row>
    <row r="100" spans="2:13">
      <c r="B100" s="22"/>
      <c r="C100" s="196"/>
      <c r="D100" s="197"/>
      <c r="E100" s="197"/>
      <c r="F100" s="197"/>
      <c r="G100" s="197"/>
      <c r="H100" s="197"/>
      <c r="I100" s="197"/>
      <c r="J100" s="197"/>
      <c r="K100" s="198"/>
      <c r="L100" s="188"/>
      <c r="M100" s="111"/>
    </row>
    <row r="101" spans="2:13">
      <c r="B101" s="22"/>
      <c r="C101" s="199"/>
      <c r="D101" s="200"/>
      <c r="E101" s="200"/>
      <c r="F101" s="200"/>
      <c r="G101" s="200"/>
      <c r="H101" s="200"/>
      <c r="I101" s="200"/>
      <c r="J101" s="200"/>
      <c r="K101" s="201"/>
      <c r="L101" s="188"/>
      <c r="M101" s="111"/>
    </row>
    <row r="102" spans="2:13" ht="12" customHeight="1" thickBot="1">
      <c r="B102" s="25"/>
      <c r="C102" s="159"/>
      <c r="D102" s="159"/>
      <c r="E102" s="159"/>
      <c r="F102" s="159"/>
      <c r="G102" s="159"/>
      <c r="H102" s="159"/>
      <c r="I102" s="159"/>
      <c r="J102" s="159"/>
      <c r="K102" s="159"/>
      <c r="L102" s="117"/>
      <c r="M102" s="128"/>
    </row>
    <row r="104" spans="2:13">
      <c r="F104" s="32"/>
    </row>
  </sheetData>
  <mergeCells count="77">
    <mergeCell ref="B2:M2"/>
    <mergeCell ref="D7:E7"/>
    <mergeCell ref="H15:K15"/>
    <mergeCell ref="B3:M3"/>
    <mergeCell ref="H16:K16"/>
    <mergeCell ref="K11:K12"/>
    <mergeCell ref="H17:K17"/>
    <mergeCell ref="C15:F15"/>
    <mergeCell ref="C16:F16"/>
    <mergeCell ref="C17:F17"/>
    <mergeCell ref="C18:K18"/>
    <mergeCell ref="H64:K64"/>
    <mergeCell ref="C94:K101"/>
    <mergeCell ref="C93:E93"/>
    <mergeCell ref="K88:K91"/>
    <mergeCell ref="C76:K78"/>
    <mergeCell ref="B80:M80"/>
    <mergeCell ref="C81:K81"/>
    <mergeCell ref="C52:D52"/>
    <mergeCell ref="H52:K52"/>
    <mergeCell ref="C53:D53"/>
    <mergeCell ref="H53:K53"/>
    <mergeCell ref="C54:D54"/>
    <mergeCell ref="H54:K54"/>
    <mergeCell ref="H57:K57"/>
    <mergeCell ref="C58:D58"/>
    <mergeCell ref="H58:K58"/>
    <mergeCell ref="C56:D56"/>
    <mergeCell ref="H56:K56"/>
    <mergeCell ref="H60:K60"/>
    <mergeCell ref="H21:K21"/>
    <mergeCell ref="H22:K22"/>
    <mergeCell ref="H23:K23"/>
    <mergeCell ref="H24:K24"/>
    <mergeCell ref="H27:K27"/>
    <mergeCell ref="C25:K25"/>
    <mergeCell ref="H28:K28"/>
    <mergeCell ref="H29:K29"/>
    <mergeCell ref="H30:K30"/>
    <mergeCell ref="H31:K31"/>
    <mergeCell ref="H34:K34"/>
    <mergeCell ref="C32:K32"/>
    <mergeCell ref="C55:D55"/>
    <mergeCell ref="H55:K55"/>
    <mergeCell ref="C57:D57"/>
    <mergeCell ref="C102:K102"/>
    <mergeCell ref="B1:M1"/>
    <mergeCell ref="B9:M9"/>
    <mergeCell ref="B49:M49"/>
    <mergeCell ref="B50:M50"/>
    <mergeCell ref="B62:M62"/>
    <mergeCell ref="C61:K61"/>
    <mergeCell ref="C48:K48"/>
    <mergeCell ref="C8:K8"/>
    <mergeCell ref="C4:K4"/>
    <mergeCell ref="D14:F14"/>
    <mergeCell ref="I14:K14"/>
    <mergeCell ref="C10:J10"/>
    <mergeCell ref="D26:K26"/>
    <mergeCell ref="H44:K44"/>
    <mergeCell ref="H45:K45"/>
    <mergeCell ref="C63:K63"/>
    <mergeCell ref="D75:K75"/>
    <mergeCell ref="C46:K46"/>
    <mergeCell ref="H47:K47"/>
    <mergeCell ref="G14:G17"/>
    <mergeCell ref="H36:K36"/>
    <mergeCell ref="H38:K38"/>
    <mergeCell ref="H40:K40"/>
    <mergeCell ref="H41:K41"/>
    <mergeCell ref="H42:K42"/>
    <mergeCell ref="C39:K39"/>
    <mergeCell ref="C59:D59"/>
    <mergeCell ref="H59:K59"/>
    <mergeCell ref="H19:K19"/>
    <mergeCell ref="D20:K20"/>
    <mergeCell ref="C60:D60"/>
  </mergeCells>
  <conditionalFormatting sqref="K13:L13">
    <cfRule type="colorScale" priority="98">
      <colorScale>
        <cfvo type="num" val="9"/>
        <cfvo type="num" val="10"/>
        <cfvo type="num" val="17"/>
        <color rgb="FF00B050"/>
        <color rgb="FFFFC000"/>
        <color rgb="FFFF0000"/>
      </colorScale>
    </cfRule>
  </conditionalFormatting>
  <conditionalFormatting sqref="H64">
    <cfRule type="containsText" dxfId="17" priority="96" operator="containsText" text="GOOD">
      <formula>NOT(ISERROR(SEARCH("GOOD",H64)))</formula>
    </cfRule>
    <cfRule type="containsText" dxfId="16" priority="97" operator="containsText" text="BAD">
      <formula>NOT(ISERROR(SEARCH("BAD",H64)))</formula>
    </cfRule>
  </conditionalFormatting>
  <conditionalFormatting sqref="J86">
    <cfRule type="cellIs" dxfId="15" priority="84" operator="greaterThan">
      <formula>$J$84</formula>
    </cfRule>
    <cfRule type="cellIs" dxfId="14" priority="85" operator="equal">
      <formula>$J$84</formula>
    </cfRule>
  </conditionalFormatting>
  <conditionalFormatting sqref="E87:J87">
    <cfRule type="cellIs" dxfId="13" priority="60" operator="greaterThanOrEqual">
      <formula>$D$82</formula>
    </cfRule>
    <cfRule type="cellIs" dxfId="12" priority="61" operator="lessThan">
      <formula>$E$82</formula>
    </cfRule>
    <cfRule type="cellIs" dxfId="11" priority="62" operator="between">
      <formula>$E$82</formula>
      <formula>$D$82</formula>
    </cfRule>
  </conditionalFormatting>
  <conditionalFormatting sqref="D87">
    <cfRule type="cellIs" dxfId="10" priority="57" operator="lessThan">
      <formula>$E$82</formula>
    </cfRule>
    <cfRule type="cellIs" dxfId="9" priority="58" operator="greaterThanOrEqual">
      <formula>$D$82</formula>
    </cfRule>
    <cfRule type="cellIs" dxfId="8" priority="59" operator="between">
      <formula>$E$82</formula>
      <formula>$D$82</formula>
    </cfRule>
  </conditionalFormatting>
  <conditionalFormatting sqref="E91:J91">
    <cfRule type="cellIs" dxfId="7" priority="24" operator="greaterThanOrEqual">
      <formula>$D$82</formula>
    </cfRule>
    <cfRule type="cellIs" dxfId="6" priority="25" operator="lessThan">
      <formula>$E$82</formula>
    </cfRule>
    <cfRule type="cellIs" dxfId="5" priority="26" operator="between">
      <formula>$E$82</formula>
      <formula>$D$82</formula>
    </cfRule>
  </conditionalFormatting>
  <conditionalFormatting sqref="D91">
    <cfRule type="cellIs" dxfId="4" priority="21" operator="lessThan">
      <formula>$E$82</formula>
    </cfRule>
    <cfRule type="cellIs" dxfId="3" priority="22" operator="greaterThanOrEqual">
      <formula>$D$82</formula>
    </cfRule>
    <cfRule type="cellIs" dxfId="2" priority="23" operator="between">
      <formula>$E$82</formula>
      <formula>$D$82</formula>
    </cfRule>
  </conditionalFormatting>
  <conditionalFormatting sqref="F52:F60">
    <cfRule type="containsText" dxfId="1" priority="6" operator="containsText" text="NOK">
      <formula>NOT(ISERROR(SEARCH("NOK",F52)))</formula>
    </cfRule>
    <cfRule type="containsText" dxfId="0" priority="7" operator="containsText" text="OK">
      <formula>NOT(ISERROR(SEARCH("OK",F52)))</formula>
    </cfRule>
  </conditionalFormatting>
  <conditionalFormatting sqref="K11:L12">
    <cfRule type="colorScale" priority="1">
      <colorScale>
        <cfvo type="formula" val="&quot;&lt;18&quot;"/>
        <cfvo type="formula" val="&quot;&gt;17,&lt;20&quot;"/>
        <cfvo type="num" val="20"/>
        <color rgb="FFF8696B"/>
        <color rgb="FFFFEB84"/>
        <color rgb="FF63BE7B"/>
      </colorScale>
    </cfRule>
    <cfRule type="colorScale" priority="2">
      <colorScale>
        <cfvo type="formula" val="$G$12&lt;=17"/>
        <cfvo type="formula" val="$G$12&gt;17&lt;20"/>
        <cfvo type="num" val="20"/>
        <color rgb="FFF8696B"/>
        <color rgb="FFFFEB84"/>
        <color rgb="FF63BE7B"/>
      </colorScale>
    </cfRule>
  </conditionalFormatting>
  <dataValidations disablePrompts="1" count="6">
    <dataValidation type="list" allowBlank="1" showInputMessage="1" showErrorMessage="1" sqref="F64" xr:uid="{00000000-0002-0000-0000-000000000000}">
      <formula1>$Q$7:$Q$8</formula1>
    </dataValidation>
    <dataValidation type="list" allowBlank="1" showInputMessage="1" showErrorMessage="1" sqref="K7:L7" xr:uid="{00000000-0002-0000-0000-000001000000}">
      <formula1>$R$3:$R$5</formula1>
    </dataValidation>
    <dataValidation errorStyle="warning" allowBlank="1" showInputMessage="1" showErrorMessage="1" sqref="D5" xr:uid="{00000000-0002-0000-0000-000002000000}"/>
    <dataValidation type="list" allowBlank="1" showInputMessage="1" showErrorMessage="1" sqref="K5:L5" xr:uid="{00000000-0002-0000-0000-000003000000}">
      <formula1>$Q$3:$Q$5</formula1>
    </dataValidation>
    <dataValidation type="list" allowBlank="1" showInputMessage="1" showErrorMessage="1" sqref="D7:E7" xr:uid="{00000000-0002-0000-0000-000004000000}">
      <formula1>$S$3:$S$3</formula1>
    </dataValidation>
    <dataValidation type="list" allowBlank="1" showInputMessage="1" showErrorMessage="1" sqref="E52:E60" xr:uid="{00000000-0002-0000-0000-000005000000}">
      <formula1>$Q$10:$Q$11</formula1>
    </dataValidation>
  </dataValidations>
  <printOptions horizontalCentered="1" verticalCentered="1"/>
  <pageMargins left="0.31496062992125984" right="0.31496062992125984" top="0.35433070866141736" bottom="0.35433070866141736" header="0.31496062992125984" footer="0.31496062992125984"/>
  <pageSetup scale="61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uage xmlns="http://schemas.microsoft.com/sharepoint/v3" xsi:nil="true"/>
    <SharedWithUsers xmlns="cb09d21b-7fa6-4679-be8b-c461063af5ea">
      <UserInfo>
        <DisplayName>Bozhinoski, Ilija</DisplayName>
        <AccountId>1940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61B87BDDF134E999FA2ACF44F2578" ma:contentTypeVersion="" ma:contentTypeDescription="Create a new document." ma:contentTypeScope="" ma:versionID="6f3484f93c6ed71dc3fb6223f7434374">
  <xsd:schema xmlns:xsd="http://www.w3.org/2001/XMLSchema" xmlns:xs="http://www.w3.org/2001/XMLSchema" xmlns:p="http://schemas.microsoft.com/office/2006/metadata/properties" xmlns:ns1="http://schemas.microsoft.com/sharepoint/v3" xmlns:ns2="cb09d21b-7fa6-4679-be8b-c461063af5ea" targetNamespace="http://schemas.microsoft.com/office/2006/metadata/properties" ma:root="true" ma:fieldsID="f00ea10dd47d5e80b70373d82cee7f0f" ns1:_="" ns2:_="">
    <xsd:import namespace="http://schemas.microsoft.com/sharepoint/v3"/>
    <xsd:import namespace="cb09d21b-7fa6-4679-be8b-c461063af5ea"/>
    <xsd:element name="properties">
      <xsd:complexType>
        <xsd:sequence>
          <xsd:element name="documentManagement">
            <xsd:complexType>
              <xsd:all>
                <xsd:element ref="ns1:Languag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8" nillable="true" ma:displayName="Language" ma:format="Dropdown" ma:internalName="Languag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9d21b-7fa6-4679-be8b-c461063af5e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66366095-a18c-4cb3-a1ea-2fdfefee6388" ContentTypeId="0x0101" PreviousValue="false"/>
</file>

<file path=customXml/itemProps1.xml><?xml version="1.0" encoding="utf-8"?>
<ds:datastoreItem xmlns:ds="http://schemas.openxmlformats.org/officeDocument/2006/customXml" ds:itemID="{2E778883-5A0D-4F01-95C0-03E9C12CF002}"/>
</file>

<file path=customXml/itemProps2.xml><?xml version="1.0" encoding="utf-8"?>
<ds:datastoreItem xmlns:ds="http://schemas.openxmlformats.org/officeDocument/2006/customXml" ds:itemID="{EDEF0D37-D023-4D4D-A3B3-4D1AF75D80EE}"/>
</file>

<file path=customXml/itemProps3.xml><?xml version="1.0" encoding="utf-8"?>
<ds:datastoreItem xmlns:ds="http://schemas.openxmlformats.org/officeDocument/2006/customXml" ds:itemID="{961F30CF-1C0A-43E1-85EA-10B544DC0A4A}"/>
</file>

<file path=customXml/itemProps4.xml><?xml version="1.0" encoding="utf-8"?>
<ds:datastoreItem xmlns:ds="http://schemas.openxmlformats.org/officeDocument/2006/customXml" ds:itemID="{C5B75113-6D4A-46FF-82BC-892870152E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Grozdanovski, Zoran</dc:creator>
  <cp:keywords/>
  <dc:description/>
  <cp:lastModifiedBy>Grozdanovski, Zoran</cp:lastModifiedBy>
  <cp:revision/>
  <dcterms:created xsi:type="dcterms:W3CDTF">2018-01-25T18:50:49Z</dcterms:created>
  <dcterms:modified xsi:type="dcterms:W3CDTF">2026-10-06T11:47:38Z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0x010100CDD61B87BDDF134E999FA2ACF44F2578</vt:lpwstr>
  </property>
</Properties>
</file>